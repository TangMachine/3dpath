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07"/>
  <workbookPr/>
  <mc:AlternateContent xmlns:mc="http://schemas.openxmlformats.org/markup-compatibility/2006">
    <mc:Choice Requires="x15">
      <x15ac:absPath xmlns:x15ac="http://schemas.microsoft.com/office/spreadsheetml/2010/11/ac" url="https://d.docs.live.net/505322563e200a0a/东航/挑战杯/code/"/>
    </mc:Choice>
  </mc:AlternateContent>
  <xr:revisionPtr revIDLastSave="66" documentId="11_AD4DA82427541F7ACA7EB867D84D28366AE8DE1F" xr6:coauthVersionLast="47" xr6:coauthVersionMax="47" xr10:uidLastSave="{663F7A8A-CA37-4CE3-8C5A-358DB7248A1C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Sheet1!$A$1:$I$301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1" l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2" i="1"/>
</calcChain>
</file>

<file path=xl/sharedStrings.xml><?xml version="1.0" encoding="utf-8"?>
<sst xmlns="http://schemas.openxmlformats.org/spreadsheetml/2006/main" count="1205" uniqueCount="693">
  <si>
    <t>flight_id</t>
    <phoneticPr fontId="2" type="noConversion"/>
  </si>
  <si>
    <t>aircraft_type</t>
    <phoneticPr fontId="2" type="noConversion"/>
  </si>
  <si>
    <t>passenger_count</t>
  </si>
  <si>
    <t>scheduled_departure_available</t>
    <phoneticPr fontId="2" type="noConversion"/>
  </si>
  <si>
    <t>3251</t>
  </si>
  <si>
    <t>73M</t>
  </si>
  <si>
    <t>2025-05-23 00:30:00</t>
  </si>
  <si>
    <t>2025-05-23 01:29:00</t>
  </si>
  <si>
    <t>8058</t>
  </si>
  <si>
    <t>33C</t>
  </si>
  <si>
    <t>0392</t>
  </si>
  <si>
    <t>78Z</t>
  </si>
  <si>
    <t>2025-05-23 02:44:00</t>
  </si>
  <si>
    <t>0656</t>
  </si>
  <si>
    <t>359</t>
  </si>
  <si>
    <t>2025-05-23 03:51:00</t>
  </si>
  <si>
    <t>8372</t>
  </si>
  <si>
    <t>33W</t>
  </si>
  <si>
    <t>2025-05-23 04:35:00</t>
  </si>
  <si>
    <t>0304</t>
  </si>
  <si>
    <t>78C</t>
  </si>
  <si>
    <t>2025-05-23 05:17:00</t>
  </si>
  <si>
    <t>2025-05-24 01:23:00</t>
  </si>
  <si>
    <t>8213</t>
  </si>
  <si>
    <t>32G</t>
  </si>
  <si>
    <t>2025-05-23 06:25:00</t>
  </si>
  <si>
    <t>2025-05-23 06:28:00</t>
  </si>
  <si>
    <t>6849</t>
  </si>
  <si>
    <t>2025-05-23 06:55:00</t>
  </si>
  <si>
    <t>2025-05-23 06:56:00</t>
  </si>
  <si>
    <t>8588</t>
  </si>
  <si>
    <t>32L</t>
  </si>
  <si>
    <t>2025-05-23 07:00:00</t>
  </si>
  <si>
    <t>2025-05-23 07:25:00</t>
  </si>
  <si>
    <t>3992</t>
  </si>
  <si>
    <t>2025-05-23 07:03:00</t>
  </si>
  <si>
    <t>3254</t>
  </si>
  <si>
    <t>31N</t>
  </si>
  <si>
    <t>2025-05-23 07:10:00</t>
  </si>
  <si>
    <t>2025-05-23 07:13:00</t>
  </si>
  <si>
    <t>2025-05-23 07:15:00</t>
  </si>
  <si>
    <t>3751</t>
  </si>
  <si>
    <t>73N</t>
  </si>
  <si>
    <t>2025-05-23 08:42:00</t>
  </si>
  <si>
    <t>3344</t>
  </si>
  <si>
    <t>320</t>
  </si>
  <si>
    <t>6552</t>
  </si>
  <si>
    <t>2025-05-23 08:36:00</t>
  </si>
  <si>
    <t>2363</t>
  </si>
  <si>
    <t>31X</t>
  </si>
  <si>
    <t>2025-05-23 08:08:00</t>
  </si>
  <si>
    <t>6914</t>
  </si>
  <si>
    <t>2025-05-23 07:45:00</t>
  </si>
  <si>
    <t>2025-05-23 08:01:00</t>
  </si>
  <si>
    <t>2025-05-23 07:57:00</t>
  </si>
  <si>
    <t>2025-05-23 08:00:00</t>
  </si>
  <si>
    <t>2025-05-23 07:55:00</t>
  </si>
  <si>
    <t>3590</t>
  </si>
  <si>
    <t>2025-05-23 08:45:00</t>
  </si>
  <si>
    <t>0343</t>
  </si>
  <si>
    <t>2025-05-23 08:12:00</t>
  </si>
  <si>
    <t>3523</t>
  </si>
  <si>
    <t>2025-05-23 08:05:00</t>
  </si>
  <si>
    <t>2025-05-23 08:14:00</t>
  </si>
  <si>
    <t>3194</t>
  </si>
  <si>
    <t>2025-05-23 09:16:00</t>
  </si>
  <si>
    <t>2025-05-23 08:30:00</t>
  </si>
  <si>
    <t>6645</t>
  </si>
  <si>
    <t>73Q</t>
  </si>
  <si>
    <t>2025-05-23 08:56:00</t>
  </si>
  <si>
    <t>2025-05-23 08:10:00</t>
  </si>
  <si>
    <t>3521</t>
  </si>
  <si>
    <t>773</t>
  </si>
  <si>
    <t>8022</t>
  </si>
  <si>
    <t>2025-05-23 08:34:00</t>
  </si>
  <si>
    <t>2025-05-23 08:35:00</t>
  </si>
  <si>
    <t>2025-05-23 08:32:00</t>
  </si>
  <si>
    <t>2025-05-23 08:20:00</t>
  </si>
  <si>
    <t>2025-05-23 08:25:00</t>
  </si>
  <si>
    <t>8285</t>
  </si>
  <si>
    <t>2025-05-23 08:26:00</t>
  </si>
  <si>
    <t>8812</t>
  </si>
  <si>
    <t>2025-05-23 08:33:00</t>
  </si>
  <si>
    <t>6990</t>
  </si>
  <si>
    <t>738</t>
  </si>
  <si>
    <t>2025-05-23 08:27:00</t>
  </si>
  <si>
    <t>5891</t>
  </si>
  <si>
    <t>8985</t>
  </si>
  <si>
    <t>2025-05-23 08:38:00</t>
  </si>
  <si>
    <t>3740</t>
  </si>
  <si>
    <t>2025-05-23 12:38:00</t>
  </si>
  <si>
    <t>6180</t>
  </si>
  <si>
    <t>2025-05-23 08:31:00</t>
  </si>
  <si>
    <t>2025-05-23 10:51:00</t>
  </si>
  <si>
    <t>8225</t>
  </si>
  <si>
    <t>2025-05-23 08:50:00</t>
  </si>
  <si>
    <t>6838</t>
  </si>
  <si>
    <t>2025-05-23 09:01:00</t>
  </si>
  <si>
    <t>3151</t>
  </si>
  <si>
    <t>3132</t>
  </si>
  <si>
    <t>2025-05-23 10:01:00</t>
  </si>
  <si>
    <t>0389</t>
  </si>
  <si>
    <t>2025-05-23 09:36:00</t>
  </si>
  <si>
    <t>2025-05-23 09:30:00</t>
  </si>
  <si>
    <t>6378</t>
  </si>
  <si>
    <t>2025-05-23 10:31:00</t>
  </si>
  <si>
    <t>3099</t>
  </si>
  <si>
    <t>2025-05-23 09:00:00</t>
  </si>
  <si>
    <t>2337</t>
  </si>
  <si>
    <t>31C</t>
  </si>
  <si>
    <t>2025-05-23 09:29:00</t>
  </si>
  <si>
    <t>2025-05-23 13:54:00</t>
  </si>
  <si>
    <t>2025-05-23 09:27:00</t>
  </si>
  <si>
    <t>8899</t>
  </si>
  <si>
    <t>2025-05-23 09:05:00</t>
  </si>
  <si>
    <t>6900</t>
  </si>
  <si>
    <t>2025-05-23 09:06:00</t>
  </si>
  <si>
    <t>2025-05-23 09:17:00</t>
  </si>
  <si>
    <t>3930</t>
  </si>
  <si>
    <t>2025-05-23 09:34:00</t>
  </si>
  <si>
    <t>2025-05-23 09:10:00</t>
  </si>
  <si>
    <t>2025-05-23 09:32:00</t>
  </si>
  <si>
    <t>3843</t>
  </si>
  <si>
    <t>2025-05-23 09:21:00</t>
  </si>
  <si>
    <t>3087</t>
  </si>
  <si>
    <t>3771</t>
  </si>
  <si>
    <t>2025-05-23 09:20:00</t>
  </si>
  <si>
    <t>2025-05-23 11:24:00</t>
  </si>
  <si>
    <t>3841</t>
  </si>
  <si>
    <t>2025-05-23 09:23:00</t>
  </si>
  <si>
    <t>3621</t>
  </si>
  <si>
    <t>2025-05-23 09:25:00</t>
  </si>
  <si>
    <t>3933</t>
  </si>
  <si>
    <t>8214</t>
  </si>
  <si>
    <t>2025-05-23 16:02:00</t>
  </si>
  <si>
    <t>8520</t>
  </si>
  <si>
    <t>3000</t>
  </si>
  <si>
    <t>2025-05-23 09:46:00</t>
  </si>
  <si>
    <t>2025-05-23 09:35:00</t>
  </si>
  <si>
    <t>3493</t>
  </si>
  <si>
    <t>2025-05-23 09:39:00</t>
  </si>
  <si>
    <t>2025-05-23 16:30:00</t>
  </si>
  <si>
    <t>2025-05-23 09:45:00</t>
  </si>
  <si>
    <t>3605</t>
  </si>
  <si>
    <t>2025-05-23 09:47:00</t>
  </si>
  <si>
    <t>6289</t>
  </si>
  <si>
    <t>2025-05-23 09:50:00</t>
  </si>
  <si>
    <t>2025-05-23 09:54:00</t>
  </si>
  <si>
    <t>2025-05-23 10:00:00</t>
  </si>
  <si>
    <t>2025-05-23 15:57:00</t>
  </si>
  <si>
    <t>3733</t>
  </si>
  <si>
    <t>2025-05-23 12:09:23</t>
  </si>
  <si>
    <t>6621</t>
  </si>
  <si>
    <t>2025-05-23 10:10:00</t>
  </si>
  <si>
    <t>8806</t>
  </si>
  <si>
    <t>321</t>
  </si>
  <si>
    <t>2025-05-23 10:06:00</t>
  </si>
  <si>
    <t>3192</t>
  </si>
  <si>
    <t>2025-05-23 14:44:00</t>
  </si>
  <si>
    <t>6850</t>
  </si>
  <si>
    <t>2025-05-23 10:15:00</t>
  </si>
  <si>
    <t>2025-05-23 11:31:00</t>
  </si>
  <si>
    <t>2025-05-23 11:00:00</t>
  </si>
  <si>
    <t>2025-05-23 10:45:00</t>
  </si>
  <si>
    <t>2025-05-23 10:25:00</t>
  </si>
  <si>
    <t>6384</t>
  </si>
  <si>
    <t>2025-05-23 11:03:00</t>
  </si>
  <si>
    <t>2025-05-23 10:55:00</t>
  </si>
  <si>
    <t>2025-05-23 10:30:00</t>
  </si>
  <si>
    <t>3550</t>
  </si>
  <si>
    <t>2131</t>
  </si>
  <si>
    <t>2025-05-23 10:36:00</t>
  </si>
  <si>
    <t>3778</t>
  </si>
  <si>
    <t>2025-05-23 16:05:00</t>
  </si>
  <si>
    <t>2025-05-23 10:35:00</t>
  </si>
  <si>
    <t>2025-05-23 16:07:00</t>
  </si>
  <si>
    <t>8460</t>
  </si>
  <si>
    <t>2025-05-23 12:11:00</t>
  </si>
  <si>
    <t>6705</t>
  </si>
  <si>
    <t>2025-05-23 10:50:00</t>
  </si>
  <si>
    <t>2025-05-23 12:00:00</t>
  </si>
  <si>
    <t>2025-05-23 18:13:00</t>
  </si>
  <si>
    <t>2025-05-23 11:10:00</t>
  </si>
  <si>
    <t>6199</t>
  </si>
  <si>
    <t>32D</t>
  </si>
  <si>
    <t>2025-05-23 16:01:00</t>
  </si>
  <si>
    <t>2025-05-23 14:21:00</t>
  </si>
  <si>
    <t>3097</t>
  </si>
  <si>
    <t>2025-05-23 11:04:00</t>
  </si>
  <si>
    <t>3313</t>
  </si>
  <si>
    <t>2025-05-23 11:59:00</t>
  </si>
  <si>
    <t>2025-05-23 11:34:00</t>
  </si>
  <si>
    <t>3177</t>
  </si>
  <si>
    <t>2025-05-23 11:41:00</t>
  </si>
  <si>
    <t>3537</t>
  </si>
  <si>
    <t>2025-05-23 16:20:00</t>
  </si>
  <si>
    <t>2025-05-23 15:55:00</t>
  </si>
  <si>
    <t>2025-05-23 11:35:00</t>
  </si>
  <si>
    <t>2088</t>
  </si>
  <si>
    <t>2025-05-23 12:21:00</t>
  </si>
  <si>
    <t>3954</t>
  </si>
  <si>
    <t>2025-05-23 11:15:00</t>
  </si>
  <si>
    <t>2025-05-23 17:18:00</t>
  </si>
  <si>
    <t>6609</t>
  </si>
  <si>
    <t>2025-05-23 11:20:00</t>
  </si>
  <si>
    <t>2025-05-23 15:06:00</t>
  </si>
  <si>
    <t>3797</t>
  </si>
  <si>
    <t>2025-05-23 11:22:00</t>
  </si>
  <si>
    <t>6797</t>
  </si>
  <si>
    <t>2025-05-23 11:48:00</t>
  </si>
  <si>
    <t>3666</t>
  </si>
  <si>
    <t>2025-05-23 13:42:00</t>
  </si>
  <si>
    <t>2025-05-23 17:35:00</t>
  </si>
  <si>
    <t>2025-05-23 11:25:00</t>
  </si>
  <si>
    <t>2025-05-23 12:30:00</t>
  </si>
  <si>
    <t>3352</t>
  </si>
  <si>
    <t>2025-05-23 17:20:00</t>
  </si>
  <si>
    <t>2025-05-23 11:30:00</t>
  </si>
  <si>
    <t>3169</t>
  </si>
  <si>
    <t>2025-05-23 14:25:00</t>
  </si>
  <si>
    <t>6631</t>
  </si>
  <si>
    <t>2025-05-23 12:37:00</t>
  </si>
  <si>
    <t>6970</t>
  </si>
  <si>
    <t>3914</t>
  </si>
  <si>
    <t>2025-05-23 17:32:00</t>
  </si>
  <si>
    <t>2025-05-23 12:24:00</t>
  </si>
  <si>
    <t>3522</t>
  </si>
  <si>
    <t>2025-05-23 14:40:00</t>
  </si>
  <si>
    <t>2025-05-23 12:05:00</t>
  </si>
  <si>
    <t>3245</t>
  </si>
  <si>
    <t>2025-05-23 12:36:00</t>
  </si>
  <si>
    <t>6314</t>
  </si>
  <si>
    <t>32M</t>
  </si>
  <si>
    <t>2025-05-23 11:45:00</t>
  </si>
  <si>
    <t>2025-05-23 13:36:00</t>
  </si>
  <si>
    <t>8286</t>
  </si>
  <si>
    <t>2025-05-23 12:04:00</t>
  </si>
  <si>
    <t>3466</t>
  </si>
  <si>
    <t>2025-05-23 14:07:00</t>
  </si>
  <si>
    <t>2025-05-23 11:50:00</t>
  </si>
  <si>
    <t>3524</t>
  </si>
  <si>
    <t>2025-05-23 17:59:00</t>
  </si>
  <si>
    <t>3423</t>
  </si>
  <si>
    <t>2025-05-23 12:23:00</t>
  </si>
  <si>
    <t>2338</t>
  </si>
  <si>
    <t>2025-05-23 13:52:00</t>
  </si>
  <si>
    <t>2025-05-23 11:55:00</t>
  </si>
  <si>
    <t>2025-05-23 16:57:00</t>
  </si>
  <si>
    <t>8226</t>
  </si>
  <si>
    <t>2025-05-23 17:06:00</t>
  </si>
  <si>
    <t>2025-05-23 13:19:00</t>
  </si>
  <si>
    <t>3103</t>
  </si>
  <si>
    <t>2025-05-23 13:13:00</t>
  </si>
  <si>
    <t>2025-05-23 17:23:00</t>
  </si>
  <si>
    <t>5892</t>
  </si>
  <si>
    <t>2025-05-23 16:47:00</t>
  </si>
  <si>
    <t>6300</t>
  </si>
  <si>
    <t>2025-05-23 12:20:00</t>
  </si>
  <si>
    <t>2025-05-23 13:05:00</t>
  </si>
  <si>
    <t>3262</t>
  </si>
  <si>
    <t>2025-05-23 12:10:00</t>
  </si>
  <si>
    <t>3510</t>
  </si>
  <si>
    <t>2025-05-23 16:56:00</t>
  </si>
  <si>
    <t>2025-05-23 15:17:00</t>
  </si>
  <si>
    <t>3842</t>
  </si>
  <si>
    <t>2025-05-23 12:15:00</t>
  </si>
  <si>
    <t>6592</t>
  </si>
  <si>
    <t>2025-05-23 13:56:00</t>
  </si>
  <si>
    <t>2025-05-23 12:25:00</t>
  </si>
  <si>
    <t>0688</t>
  </si>
  <si>
    <t>3934</t>
  </si>
  <si>
    <t>2025-05-23 17:48:00</t>
  </si>
  <si>
    <t>8105</t>
  </si>
  <si>
    <t>3102</t>
  </si>
  <si>
    <t>350</t>
  </si>
  <si>
    <t>2025-05-23 15:53:00</t>
  </si>
  <si>
    <t>8986</t>
  </si>
  <si>
    <t>2025-05-23 16:12:00</t>
  </si>
  <si>
    <t>2025-05-23 14:00:00</t>
  </si>
  <si>
    <t>2025-05-23 15:30:00</t>
  </si>
  <si>
    <t>8686</t>
  </si>
  <si>
    <t>2025-05-23 12:35:00</t>
  </si>
  <si>
    <t>8083</t>
  </si>
  <si>
    <t>6059</t>
  </si>
  <si>
    <t>2025-05-23 16:03:00</t>
  </si>
  <si>
    <t>3844</t>
  </si>
  <si>
    <t>2025-05-23 18:45:00</t>
  </si>
  <si>
    <t>5118</t>
  </si>
  <si>
    <t>2025-05-23 12:40:00</t>
  </si>
  <si>
    <t>2025-05-23 16:49:00</t>
  </si>
  <si>
    <t>3554</t>
  </si>
  <si>
    <t>2124</t>
  </si>
  <si>
    <t>2364</t>
  </si>
  <si>
    <t>2025-05-23 13:06:00</t>
  </si>
  <si>
    <t>2025-05-23 12:45:00</t>
  </si>
  <si>
    <t>2025-05-23 13:15:00</t>
  </si>
  <si>
    <t>2025-05-23 16:35:00</t>
  </si>
  <si>
    <t>6150</t>
  </si>
  <si>
    <t>6290</t>
  </si>
  <si>
    <t>2025-05-23 19:19:00</t>
  </si>
  <si>
    <t>2025-05-23 12:50:00</t>
  </si>
  <si>
    <t>2025-05-23 14:48:00</t>
  </si>
  <si>
    <t>3520</t>
  </si>
  <si>
    <t>2025-05-23 17:19:00</t>
  </si>
  <si>
    <t>2025-05-23 13:20:00</t>
  </si>
  <si>
    <t>2025-05-23 15:24:00</t>
  </si>
  <si>
    <t>3238</t>
  </si>
  <si>
    <t>2025-05-23 13:00:00</t>
  </si>
  <si>
    <t>2025-05-23 16:50:00</t>
  </si>
  <si>
    <t>6315</t>
  </si>
  <si>
    <t>2025-05-23 16:15:00</t>
  </si>
  <si>
    <t>3561</t>
  </si>
  <si>
    <t>3525</t>
  </si>
  <si>
    <t>2025-05-23 13:53:00</t>
  </si>
  <si>
    <t>3438</t>
  </si>
  <si>
    <t>3152</t>
  </si>
  <si>
    <t>2025-05-23 18:07:00</t>
  </si>
  <si>
    <t>3814</t>
  </si>
  <si>
    <t>2025-05-23 15:20:00</t>
  </si>
  <si>
    <t>2025-05-23 14:35:00</t>
  </si>
  <si>
    <t>2025-05-23 13:10:00</t>
  </si>
  <si>
    <t>3640</t>
  </si>
  <si>
    <t>2025-05-23 16:53:00</t>
  </si>
  <si>
    <t>8775</t>
  </si>
  <si>
    <t>2025-05-23 18:43:00</t>
  </si>
  <si>
    <t>6434</t>
  </si>
  <si>
    <t>3792</t>
  </si>
  <si>
    <t>2025-05-23 19:37:00</t>
  </si>
  <si>
    <t>2025-05-23 17:08:00</t>
  </si>
  <si>
    <t>3494</t>
  </si>
  <si>
    <t>2025-05-23 19:55:00</t>
  </si>
  <si>
    <t>0303</t>
  </si>
  <si>
    <t>2025-05-23 15:35:00</t>
  </si>
  <si>
    <t>0341</t>
  </si>
  <si>
    <t>2025-05-23 13:25:00</t>
  </si>
  <si>
    <t>2025-05-23 13:35:00</t>
  </si>
  <si>
    <t>2025-05-23 16:46:00</t>
  </si>
  <si>
    <t>2025-05-23 13:50:00</t>
  </si>
  <si>
    <t>2025-05-23 13:30:00</t>
  </si>
  <si>
    <t>2025-05-23 20:40:00</t>
  </si>
  <si>
    <t>3106</t>
  </si>
  <si>
    <t>2025-05-23 15:54:00</t>
  </si>
  <si>
    <t>3622</t>
  </si>
  <si>
    <t>3884</t>
  </si>
  <si>
    <t>2025-05-23 16:45:00</t>
  </si>
  <si>
    <t>2025-05-23 15:15:00</t>
  </si>
  <si>
    <t>6074</t>
  </si>
  <si>
    <t>2025-05-23 13:40:00</t>
  </si>
  <si>
    <t>6596</t>
  </si>
  <si>
    <t>3532</t>
  </si>
  <si>
    <t>2025-05-23 19:12:00</t>
  </si>
  <si>
    <t>3314</t>
  </si>
  <si>
    <t>2025-05-23 19:30:00</t>
  </si>
  <si>
    <t>0390</t>
  </si>
  <si>
    <t>2025-05-23 16:33:00</t>
  </si>
  <si>
    <t>2025-05-23 20:25:00</t>
  </si>
  <si>
    <t>0655</t>
  </si>
  <si>
    <t>2025-05-23 15:52:00</t>
  </si>
  <si>
    <t>6706</t>
  </si>
  <si>
    <t>2025-05-23 13:55:00</t>
  </si>
  <si>
    <t>2025-05-23 14:20:00</t>
  </si>
  <si>
    <t>6851</t>
  </si>
  <si>
    <t>3385</t>
  </si>
  <si>
    <t>0397</t>
  </si>
  <si>
    <t>2025-05-23 18:39:00</t>
  </si>
  <si>
    <t>3158</t>
  </si>
  <si>
    <t>2025-05-23 19:38:00</t>
  </si>
  <si>
    <t>3285</t>
  </si>
  <si>
    <t>2025-05-23 14:29:00</t>
  </si>
  <si>
    <t>3109</t>
  </si>
  <si>
    <t>2025-05-23 17:02:00</t>
  </si>
  <si>
    <t>6622</t>
  </si>
  <si>
    <t>2025-05-23 14:05:00</t>
  </si>
  <si>
    <t>2025-05-23 18:00:00</t>
  </si>
  <si>
    <t>2025-05-23 14:10:00</t>
  </si>
  <si>
    <t>2025-05-23 17:51:00</t>
  </si>
  <si>
    <t>5141</t>
  </si>
  <si>
    <t>2025-05-23 14:15:00</t>
  </si>
  <si>
    <t>2025-05-23 16:00:00</t>
  </si>
  <si>
    <t>6626</t>
  </si>
  <si>
    <t>2025-05-23 17:03:00</t>
  </si>
  <si>
    <t>2132</t>
  </si>
  <si>
    <t>2025-05-23 18:46:00</t>
  </si>
  <si>
    <t>8295</t>
  </si>
  <si>
    <t>2025-05-23 15:42:00</t>
  </si>
  <si>
    <t>2025-05-23 18:44:00</t>
  </si>
  <si>
    <t>2025-05-23 19:50:00</t>
  </si>
  <si>
    <t>3162</t>
  </si>
  <si>
    <t>2025-05-23 14:30:00</t>
  </si>
  <si>
    <t>3734</t>
  </si>
  <si>
    <t>2025-05-23 19:40:00</t>
  </si>
  <si>
    <t>8797</t>
  </si>
  <si>
    <t>2025-05-23 14:34:00</t>
  </si>
  <si>
    <t>3791</t>
  </si>
  <si>
    <t>2025-05-23 15:03:00</t>
  </si>
  <si>
    <t>8057</t>
  </si>
  <si>
    <t>2025-05-23 14:45:00</t>
  </si>
  <si>
    <t>5727</t>
  </si>
  <si>
    <t>2025-05-23 14:55:00</t>
  </si>
  <si>
    <t>2025-05-23 20:20:00</t>
  </si>
  <si>
    <t>3256</t>
  </si>
  <si>
    <t>2025-05-23 18:31:00</t>
  </si>
  <si>
    <t>2025-05-23 19:47:00</t>
  </si>
  <si>
    <t>3798</t>
  </si>
  <si>
    <t>2025-05-23 14:50:00</t>
  </si>
  <si>
    <t>2025-05-23 20:17:00</t>
  </si>
  <si>
    <t>3538</t>
  </si>
  <si>
    <t>2025-05-23 20:13:00</t>
  </si>
  <si>
    <t>2025-05-23 16:55:00</t>
  </si>
  <si>
    <t>2318</t>
  </si>
  <si>
    <t>2025-05-23 17:27:00</t>
  </si>
  <si>
    <t>6767</t>
  </si>
  <si>
    <t>2025-05-23 15:00:00</t>
  </si>
  <si>
    <t>2025-05-23 15:10:00</t>
  </si>
  <si>
    <t>3557</t>
  </si>
  <si>
    <t>2025-05-23 17:39:00</t>
  </si>
  <si>
    <t>3571</t>
  </si>
  <si>
    <t>2025-05-23 18:48:00</t>
  </si>
  <si>
    <t>2025-05-23 20:10:00</t>
  </si>
  <si>
    <t>2025-05-23 15:05:00</t>
  </si>
  <si>
    <t>3449</t>
  </si>
  <si>
    <t>2025-05-23 20:52:00</t>
  </si>
  <si>
    <t>6499</t>
  </si>
  <si>
    <t>2025-05-23 20:24:00</t>
  </si>
  <si>
    <t>2025-05-23 16:22:00</t>
  </si>
  <si>
    <t>6798</t>
  </si>
  <si>
    <t>2025-05-23 15:43:00</t>
  </si>
  <si>
    <t>3501</t>
  </si>
  <si>
    <t>6987</t>
  </si>
  <si>
    <t>3417</t>
  </si>
  <si>
    <t>2025-05-23 19:01:00</t>
  </si>
  <si>
    <t>5721</t>
  </si>
  <si>
    <t>2025-05-23 15:29:00</t>
  </si>
  <si>
    <t>3104</t>
  </si>
  <si>
    <t>2025-05-23 17:22:00</t>
  </si>
  <si>
    <t>2025-05-23 19:31:00</t>
  </si>
  <si>
    <t>6200</t>
  </si>
  <si>
    <t>2025-05-23 20:30:00</t>
  </si>
  <si>
    <t>3246</t>
  </si>
  <si>
    <t>2025-05-23 19:02:00</t>
  </si>
  <si>
    <t>6149</t>
  </si>
  <si>
    <t>2025-05-23 15:39:00</t>
  </si>
  <si>
    <t>2025-05-23 15:40:00</t>
  </si>
  <si>
    <t>3552</t>
  </si>
  <si>
    <t>2025-05-23 19:57:00</t>
  </si>
  <si>
    <t>2025-05-23 15:45:00</t>
  </si>
  <si>
    <t>3424</t>
  </si>
  <si>
    <t>8032</t>
  </si>
  <si>
    <t>3606</t>
  </si>
  <si>
    <t>6899</t>
  </si>
  <si>
    <t>2025-05-23 17:41:00</t>
  </si>
  <si>
    <t>8106</t>
  </si>
  <si>
    <t>2025-05-23 16:28:00</t>
  </si>
  <si>
    <t>3015</t>
  </si>
  <si>
    <t>2025-05-23 15:55:27</t>
  </si>
  <si>
    <t>2025-05-23 18:28:00</t>
  </si>
  <si>
    <t>3172</t>
  </si>
  <si>
    <t>2025-05-23 20:29:00</t>
  </si>
  <si>
    <t>3115</t>
  </si>
  <si>
    <t>5793</t>
  </si>
  <si>
    <t>2025-05-23 16:06:00</t>
  </si>
  <si>
    <t>3135</t>
  </si>
  <si>
    <t>2025-05-23 21:39:00</t>
  </si>
  <si>
    <t>2025-05-23 17:31:00</t>
  </si>
  <si>
    <t>2025-05-23 20:55:00</t>
  </si>
  <si>
    <t>2025-05-23 20:05:00</t>
  </si>
  <si>
    <t>8777</t>
  </si>
  <si>
    <t>2025-05-23 16:25:00</t>
  </si>
  <si>
    <t>2025-05-23 19:51:00</t>
  </si>
  <si>
    <t>5117</t>
  </si>
  <si>
    <t>2025-05-23 20:48:00</t>
  </si>
  <si>
    <t>6844</t>
  </si>
  <si>
    <t>2025-05-23 16:59:00</t>
  </si>
  <si>
    <t>2025-05-23 18:37:00</t>
  </si>
  <si>
    <t>2025-05-23 21:28:00</t>
  </si>
  <si>
    <t>3180</t>
  </si>
  <si>
    <t>2025-05-23 19:17:00</t>
  </si>
  <si>
    <t>2025-05-23 17:15:00</t>
  </si>
  <si>
    <t>6060</t>
  </si>
  <si>
    <t>2025-05-23 20:02:00</t>
  </si>
  <si>
    <t>2025-05-23 16:36:00</t>
  </si>
  <si>
    <t>2025-05-23 20:57:00</t>
  </si>
  <si>
    <t>3836</t>
  </si>
  <si>
    <t>32Z</t>
  </si>
  <si>
    <t>3562</t>
  </si>
  <si>
    <t>2025-05-23 16:40:00</t>
  </si>
  <si>
    <t>2025-05-23 21:05:00</t>
  </si>
  <si>
    <t>5701</t>
  </si>
  <si>
    <t>2025-05-23 18:49:19</t>
  </si>
  <si>
    <t>8459</t>
  </si>
  <si>
    <t>2025-05-23 18:41:00</t>
  </si>
  <si>
    <t>2025-05-23 20:16:00</t>
  </si>
  <si>
    <t>3526</t>
  </si>
  <si>
    <t>2025-05-23 21:19:00</t>
  </si>
  <si>
    <t>2025-05-23 21:10:00</t>
  </si>
  <si>
    <t>5919</t>
  </si>
  <si>
    <t>2025-05-23 19:00:00</t>
  </si>
  <si>
    <t>6610</t>
  </si>
  <si>
    <t>2025-05-23 17:00:00</t>
  </si>
  <si>
    <t>2025-05-24 02:41:00</t>
  </si>
  <si>
    <t>3587</t>
  </si>
  <si>
    <t>2025-05-23 17:53:00</t>
  </si>
  <si>
    <t>2025-05-23 19:33:00</t>
  </si>
  <si>
    <t>2385</t>
  </si>
  <si>
    <t>2025-05-23 17:05:00</t>
  </si>
  <si>
    <t>3673</t>
  </si>
  <si>
    <t>2025-05-23 20:38:00</t>
  </si>
  <si>
    <t>2025-05-23 18:17:00</t>
  </si>
  <si>
    <t>2025-05-23 20:33:00</t>
  </si>
  <si>
    <t>8859</t>
  </si>
  <si>
    <t>2025-05-23 21:59:00</t>
  </si>
  <si>
    <t>2025-05-23 20:53:00</t>
  </si>
  <si>
    <t>8435</t>
  </si>
  <si>
    <t>3809</t>
  </si>
  <si>
    <t>0339</t>
  </si>
  <si>
    <t>2025-05-23 20:15:00</t>
  </si>
  <si>
    <t>2025-05-23 17:45:00</t>
  </si>
  <si>
    <t>2025-05-23 17:30:00</t>
  </si>
  <si>
    <t>2025-05-23 21:25:00</t>
  </si>
  <si>
    <t>8244</t>
  </si>
  <si>
    <t>6907</t>
  </si>
  <si>
    <t>6632</t>
  </si>
  <si>
    <t>2025-05-23 18:25:00</t>
  </si>
  <si>
    <t>8699</t>
  </si>
  <si>
    <t>2025-05-23 20:27:00</t>
  </si>
  <si>
    <t>2025-05-23 18:35:00</t>
  </si>
  <si>
    <t>8296</t>
  </si>
  <si>
    <t>5007</t>
  </si>
  <si>
    <t>2025-05-23 19:24:00</t>
  </si>
  <si>
    <t>6383</t>
  </si>
  <si>
    <t>0398</t>
  </si>
  <si>
    <t>2025-05-23 22:18:00</t>
  </si>
  <si>
    <t>2025-05-23 17:50:00</t>
  </si>
  <si>
    <t>8263</t>
  </si>
  <si>
    <t>2025-05-23 18:21:00</t>
  </si>
  <si>
    <t>2025-05-23 19:06:00</t>
  </si>
  <si>
    <t>5746</t>
  </si>
  <si>
    <t>2025-05-23 17:55:00</t>
  </si>
  <si>
    <t>2025-05-23 21:22:00</t>
  </si>
  <si>
    <t>2025-05-23 18:36:00</t>
  </si>
  <si>
    <t>3189</t>
  </si>
  <si>
    <t>2025-05-24 00:09:00</t>
  </si>
  <si>
    <t>3209</t>
  </si>
  <si>
    <t>2025-05-23 21:17:00</t>
  </si>
  <si>
    <t>2025-05-23 18:05:00</t>
  </si>
  <si>
    <t>3429</t>
  </si>
  <si>
    <t>2025-05-23 21:55:00</t>
  </si>
  <si>
    <t>2025-05-23 18:15:00</t>
  </si>
  <si>
    <t>3386</t>
  </si>
  <si>
    <t>2025-05-23 20:35:00</t>
  </si>
  <si>
    <t>5089</t>
  </si>
  <si>
    <t>2025-05-23 20:59:00</t>
  </si>
  <si>
    <t>6923</t>
  </si>
  <si>
    <t>2025-05-23 18:30:00</t>
  </si>
  <si>
    <t>3259</t>
  </si>
  <si>
    <t>6547</t>
  </si>
  <si>
    <t>2025-05-23 22:09:00</t>
  </si>
  <si>
    <t>2025-05-23 19:15:00</t>
  </si>
  <si>
    <t>0383</t>
  </si>
  <si>
    <t>8798</t>
  </si>
  <si>
    <t>2025-05-23 22:15:00</t>
  </si>
  <si>
    <t>3100</t>
  </si>
  <si>
    <t>3502</t>
  </si>
  <si>
    <t>2025-05-23 21:41:00</t>
  </si>
  <si>
    <t>6340</t>
  </si>
  <si>
    <t>2025-05-23 18:40:00</t>
  </si>
  <si>
    <t>3558</t>
  </si>
  <si>
    <t>2025-05-23 22:38:00</t>
  </si>
  <si>
    <t>3450</t>
  </si>
  <si>
    <t>2025-05-23 23:51:00</t>
  </si>
  <si>
    <t>3464</t>
  </si>
  <si>
    <t>2025-05-23 21:44:00</t>
  </si>
  <si>
    <t>6500</t>
  </si>
  <si>
    <t>2025-05-24 00:10:00</t>
  </si>
  <si>
    <t>6819</t>
  </si>
  <si>
    <t>2025-05-23 18:50:00</t>
  </si>
  <si>
    <t>2025-05-23 19:22:00</t>
  </si>
  <si>
    <t>3572</t>
  </si>
  <si>
    <t>2025-05-23 22:16:00</t>
  </si>
  <si>
    <t>2025-05-23 19:11:00</t>
  </si>
  <si>
    <t>3071</t>
  </si>
  <si>
    <t>2025-05-23 18:55:00</t>
  </si>
  <si>
    <t>2025-05-24 00:46:00</t>
  </si>
  <si>
    <t>3959</t>
  </si>
  <si>
    <t>2025-05-23 22:01:00</t>
  </si>
  <si>
    <t>8576</t>
  </si>
  <si>
    <t>2025-05-23 22:48:00</t>
  </si>
  <si>
    <t>8871</t>
  </si>
  <si>
    <t>3105</t>
  </si>
  <si>
    <t>3418</t>
  </si>
  <si>
    <t>2025-05-23 21:52:00</t>
  </si>
  <si>
    <t>2025-05-23 22:25:00</t>
  </si>
  <si>
    <t>2025-05-23 19:10:00</t>
  </si>
  <si>
    <t>2391</t>
  </si>
  <si>
    <t>8232</t>
  </si>
  <si>
    <t>6659</t>
  </si>
  <si>
    <t>2025-05-23 22:02:00</t>
  </si>
  <si>
    <t>5722</t>
  </si>
  <si>
    <t>2025-05-23 19:20:00</t>
  </si>
  <si>
    <t>3947</t>
  </si>
  <si>
    <t>2025-05-23 19:35:00</t>
  </si>
  <si>
    <t>2025-05-23 19:45:00</t>
  </si>
  <si>
    <t>0391</t>
  </si>
  <si>
    <t>8886</t>
  </si>
  <si>
    <t>5873</t>
  </si>
  <si>
    <t>2025-05-23 23:11:00</t>
  </si>
  <si>
    <t>2025-05-23 23:01:00</t>
  </si>
  <si>
    <t>5142</t>
  </si>
  <si>
    <t>5794</t>
  </si>
  <si>
    <t>2025-05-24 00:06:00</t>
  </si>
  <si>
    <t>2025-05-24 00:18:00</t>
  </si>
  <si>
    <t>2025-05-23 20:00:00</t>
  </si>
  <si>
    <t>3595</t>
  </si>
  <si>
    <t>2025-05-23 21:40:00</t>
  </si>
  <si>
    <t>2025-05-23 22:58:00</t>
  </si>
  <si>
    <t>3810</t>
  </si>
  <si>
    <t>2025-05-23 23:06:00</t>
  </si>
  <si>
    <t>5728</t>
  </si>
  <si>
    <t>3067</t>
  </si>
  <si>
    <t>6551</t>
  </si>
  <si>
    <t>2025-05-23 20:19:00</t>
  </si>
  <si>
    <t>3136</t>
  </si>
  <si>
    <t>2025-05-24 01:32:00</t>
  </si>
  <si>
    <t>6934</t>
  </si>
  <si>
    <t>6168</t>
  </si>
  <si>
    <t>6589</t>
  </si>
  <si>
    <t>8778</t>
  </si>
  <si>
    <t>5702</t>
  </si>
  <si>
    <t>6988</t>
  </si>
  <si>
    <t>8860</t>
  </si>
  <si>
    <t>2025-05-23 22:27:00</t>
  </si>
  <si>
    <t>2025-05-23 21:29:00</t>
  </si>
  <si>
    <t>3995</t>
  </si>
  <si>
    <t>2025-05-23 21:32:00</t>
  </si>
  <si>
    <t>2025-05-24 00:47:00</t>
  </si>
  <si>
    <t>6466</t>
  </si>
  <si>
    <t>2025-05-23 20:50:00</t>
  </si>
  <si>
    <t>3588</t>
  </si>
  <si>
    <t>2025-05-24 00:31:00</t>
  </si>
  <si>
    <t>2025-05-23 23:05:00</t>
  </si>
  <si>
    <t>2025-05-23 21:00:00</t>
  </si>
  <si>
    <t>5786</t>
  </si>
  <si>
    <t>2025-05-23 21:16:00</t>
  </si>
  <si>
    <t>2025-05-23 21:20:00</t>
  </si>
  <si>
    <t>0325</t>
  </si>
  <si>
    <t>6793</t>
  </si>
  <si>
    <t>2025-05-23 23:04:00</t>
  </si>
  <si>
    <t>2025-05-23 22:00:00</t>
  </si>
  <si>
    <t>3430</t>
  </si>
  <si>
    <t>2025-05-23 23:57:00</t>
  </si>
  <si>
    <t>5049</t>
  </si>
  <si>
    <t>8700</t>
  </si>
  <si>
    <t>2025-05-24 01:54:00</t>
  </si>
  <si>
    <t>2025-05-23 21:15:00</t>
  </si>
  <si>
    <t>0381</t>
  </si>
  <si>
    <t>3291</t>
  </si>
  <si>
    <t>8261</t>
  </si>
  <si>
    <t>2025-05-23 21:30:00</t>
  </si>
  <si>
    <t>2025-05-23 21:45:00</t>
  </si>
  <si>
    <t>8872</t>
  </si>
  <si>
    <t>3582</t>
  </si>
  <si>
    <t>2025-05-23 21:50:00</t>
  </si>
  <si>
    <t>2025-05-23 23:40:00</t>
  </si>
  <si>
    <t>6548</t>
  </si>
  <si>
    <t>2025-05-24 03:27:00</t>
  </si>
  <si>
    <t>2386</t>
  </si>
  <si>
    <t>2025-05-23 22:06:00</t>
  </si>
  <si>
    <t>6660</t>
  </si>
  <si>
    <t>6281</t>
  </si>
  <si>
    <t>3210</t>
  </si>
  <si>
    <t>2025-05-24 03:07:00</t>
  </si>
  <si>
    <t>6924</t>
  </si>
  <si>
    <t>2025-05-24 04:06:00</t>
  </si>
  <si>
    <t>8776</t>
  </si>
  <si>
    <t>0323</t>
  </si>
  <si>
    <t>6820</t>
  </si>
  <si>
    <t>2025-05-23 22:20:00</t>
  </si>
  <si>
    <t>2025-05-23 22:21:00</t>
  </si>
  <si>
    <t>5874</t>
  </si>
  <si>
    <t>2025-05-24 01:36:00</t>
  </si>
  <si>
    <t>2025-05-23 23:59:00</t>
  </si>
  <si>
    <t>2025-05-23 22:45:00</t>
  </si>
  <si>
    <t>3190</t>
  </si>
  <si>
    <t>2025-05-24 04:09:00</t>
  </si>
  <si>
    <t>2025-05-23 22:55:00</t>
  </si>
  <si>
    <t>3960</t>
  </si>
  <si>
    <t>flight_duration</t>
    <phoneticPr fontId="2" type="noConversion"/>
  </si>
  <si>
    <t>max_capacity</t>
    <phoneticPr fontId="2" type="noConversion"/>
  </si>
  <si>
    <t>load_factor</t>
    <phoneticPr fontId="2" type="noConversion"/>
  </si>
  <si>
    <t>avg_fare</t>
    <phoneticPr fontId="2" type="noConversion"/>
  </si>
  <si>
    <t>scheduled_departure</t>
  </si>
  <si>
    <t>scheduled_departure1</t>
    <phoneticPr fontId="2" type="noConversion"/>
  </si>
  <si>
    <t>scheduled_departure_available1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</si>
</sst>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&gt;=100000000]0&quot;.&quot;00,,&quot;亿&quot;;[&gt;=10000]0&quot;.&quot;0,&quot;万&quot;;0.0#;"/>
    <numFmt numFmtId="177" formatCode="h:mm:ss;@"/>
    <numFmt numFmtId="179" formatCode="0_);[Red]\(0\)"/>
    <numFmt numFmtId="180" formatCode="0_ "/>
  </numFmts>
  <fonts count="4" x14ac:knownFonts="1">
    <font>
      <sz val="11"/>
      <color theme="1"/>
      <name val="等线"/>
      <family val="2"/>
      <scheme val="minor"/>
    </font>
    <font>
      <b/>
      <sz val="11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19191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7" fontId="0" fillId="0" borderId="0" xfId="0" applyNumberFormat="1"/>
    <xf numFmtId="179" fontId="1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179" fontId="0" fillId="0" borderId="0" xfId="0" applyNumberFormat="1"/>
    <xf numFmtId="180" fontId="1" fillId="0" borderId="1" xfId="0" applyNumberFormat="1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8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tabSelected="1" topLeftCell="D82" workbookViewId="0">
      <selection activeCell="G10" sqref="G10"/>
    </sheetView>
  </sheetViews>
  <sheetFormatPr defaultRowHeight="13.9" x14ac:dyDescent="0.4"/>
  <cols>
    <col min="1" max="1" width="22.19921875" customWidth="1"/>
    <col min="2" max="2" width="23.9296875" customWidth="1"/>
    <col min="3" max="3" width="41.9296875" style="5" customWidth="1"/>
    <col min="4" max="4" width="41.9296875" style="8" customWidth="1"/>
    <col min="5" max="5" width="23.53125" customWidth="1"/>
    <col min="6" max="6" width="31.19921875" customWidth="1"/>
    <col min="7" max="7" width="31.19921875" style="11" customWidth="1"/>
    <col min="8" max="8" width="29" style="5" customWidth="1"/>
    <col min="9" max="9" width="21.9296875" customWidth="1"/>
    <col min="10" max="10" width="31.19921875" customWidth="1"/>
    <col min="11" max="11" width="23.53125" customWidth="1"/>
  </cols>
  <sheetData>
    <row r="1" spans="1:11" x14ac:dyDescent="0.4">
      <c r="A1" s="1" t="s">
        <v>0</v>
      </c>
      <c r="B1" s="1" t="s">
        <v>1</v>
      </c>
      <c r="C1" s="1" t="s">
        <v>691</v>
      </c>
      <c r="D1" s="6" t="s">
        <v>690</v>
      </c>
      <c r="E1" s="1" t="s">
        <v>687</v>
      </c>
      <c r="F1" s="1" t="s">
        <v>2</v>
      </c>
      <c r="G1" s="9" t="s">
        <v>3</v>
      </c>
      <c r="H1" s="1" t="s">
        <v>692</v>
      </c>
      <c r="I1" s="1" t="s">
        <v>686</v>
      </c>
      <c r="J1" s="1" t="s">
        <v>688</v>
      </c>
      <c r="K1" s="1" t="s">
        <v>689</v>
      </c>
    </row>
    <row r="2" spans="1:11" x14ac:dyDescent="0.4">
      <c r="A2" s="2" t="s">
        <v>4</v>
      </c>
      <c r="B2" s="2" t="s">
        <v>5</v>
      </c>
      <c r="C2" s="4">
        <v>45800.013888888891</v>
      </c>
      <c r="D2" s="7">
        <f>IF(INT(C2)=0, C2 * 1440, (C2-INT(C2))*1440)</f>
        <v>20.000000002328306</v>
      </c>
      <c r="E2" s="2">
        <v>178</v>
      </c>
      <c r="F2" s="2">
        <f>INT(E2*J2)</f>
        <v>160</v>
      </c>
      <c r="G2" s="10">
        <f>IF(INT(H2)=0, H2 * 1440, (H2-INT(H2))*1440)</f>
        <v>30.00000000349246</v>
      </c>
      <c r="H2" s="4" t="s">
        <v>6</v>
      </c>
      <c r="I2" s="3">
        <v>1126</v>
      </c>
      <c r="J2" s="2">
        <v>0.9</v>
      </c>
      <c r="K2" s="2">
        <f>INT(I2*0.4)</f>
        <v>450</v>
      </c>
    </row>
    <row r="3" spans="1:11" x14ac:dyDescent="0.4">
      <c r="A3" s="2" t="s">
        <v>8</v>
      </c>
      <c r="B3" s="2" t="s">
        <v>9</v>
      </c>
      <c r="C3" s="4">
        <v>45800.048611111109</v>
      </c>
      <c r="D3" s="7">
        <f>IF(INT(C3)=0, C3 * 1440, (C3-INT(C3))*1440)</f>
        <v>69.999999997671694</v>
      </c>
      <c r="E3" s="2">
        <v>283</v>
      </c>
      <c r="F3" s="2">
        <f t="shared" ref="F3:F66" si="0">INT(E3*J3)</f>
        <v>254</v>
      </c>
      <c r="G3" s="10">
        <f t="shared" ref="G3:G66" si="1">IF(INT(H3)=0, H3 * 1440, (H3-INT(H3))*1440)</f>
        <v>88.999999996740371</v>
      </c>
      <c r="H3" s="4" t="s">
        <v>7</v>
      </c>
      <c r="I3" s="3">
        <v>3457</v>
      </c>
      <c r="J3" s="2">
        <v>0.9</v>
      </c>
      <c r="K3" s="2">
        <f t="shared" ref="K3:K66" si="2">INT(I3*0.4)</f>
        <v>1382</v>
      </c>
    </row>
    <row r="4" spans="1:11" x14ac:dyDescent="0.4">
      <c r="A4" s="2" t="s">
        <v>10</v>
      </c>
      <c r="B4" s="2" t="s">
        <v>11</v>
      </c>
      <c r="C4" s="4">
        <v>45800.052083333336</v>
      </c>
      <c r="D4" s="7">
        <f>IF(INT(C4)=0, C4 * 1440, (C4-INT(C4))*1440)</f>
        <v>75.00000000349246</v>
      </c>
      <c r="E4" s="2">
        <v>276</v>
      </c>
      <c r="F4" s="2">
        <f t="shared" si="0"/>
        <v>248</v>
      </c>
      <c r="G4" s="10">
        <f t="shared" si="1"/>
        <v>164.00000000023283</v>
      </c>
      <c r="H4" s="4" t="s">
        <v>12</v>
      </c>
      <c r="I4" s="3">
        <v>1391</v>
      </c>
      <c r="J4" s="2">
        <v>0.9</v>
      </c>
      <c r="K4" s="2">
        <f t="shared" si="2"/>
        <v>556</v>
      </c>
    </row>
    <row r="5" spans="1:11" x14ac:dyDescent="0.4">
      <c r="A5" s="2" t="s">
        <v>13</v>
      </c>
      <c r="B5" s="2" t="s">
        <v>14</v>
      </c>
      <c r="C5" s="4">
        <v>45800.09375</v>
      </c>
      <c r="D5" s="7">
        <f>IF(INT(C5)=0, C5 * 1440, (C5-INT(C5))*1440)</f>
        <v>135</v>
      </c>
      <c r="E5" s="2">
        <v>314</v>
      </c>
      <c r="F5" s="2">
        <f t="shared" si="0"/>
        <v>282</v>
      </c>
      <c r="G5" s="10">
        <f t="shared" si="1"/>
        <v>230.99999999860302</v>
      </c>
      <c r="H5" s="4" t="s">
        <v>15</v>
      </c>
      <c r="I5" s="3">
        <v>4174</v>
      </c>
      <c r="J5" s="2">
        <v>0.9</v>
      </c>
      <c r="K5" s="2">
        <f t="shared" si="2"/>
        <v>1669</v>
      </c>
    </row>
    <row r="6" spans="1:11" x14ac:dyDescent="0.4">
      <c r="A6" s="2" t="s">
        <v>16</v>
      </c>
      <c r="B6" s="2" t="s">
        <v>17</v>
      </c>
      <c r="C6" s="4">
        <v>45800.173611111109</v>
      </c>
      <c r="D6" s="7">
        <f>IF(INT(C6)=0, C6 * 1440, (C6-INT(C6))*1440)</f>
        <v>249.99999999767169</v>
      </c>
      <c r="E6" s="2">
        <v>286</v>
      </c>
      <c r="F6" s="2">
        <f t="shared" si="0"/>
        <v>257</v>
      </c>
      <c r="G6" s="10">
        <f t="shared" si="1"/>
        <v>274.99999999534339</v>
      </c>
      <c r="H6" s="4" t="s">
        <v>18</v>
      </c>
      <c r="I6" s="3">
        <v>4299</v>
      </c>
      <c r="J6" s="2">
        <v>0.9</v>
      </c>
      <c r="K6" s="2">
        <f t="shared" si="2"/>
        <v>1719</v>
      </c>
    </row>
    <row r="7" spans="1:11" x14ac:dyDescent="0.4">
      <c r="A7" s="2" t="s">
        <v>19</v>
      </c>
      <c r="B7" s="2" t="s">
        <v>20</v>
      </c>
      <c r="C7" s="4">
        <v>45800.215277777781</v>
      </c>
      <c r="D7" s="7">
        <f>IF(INT(C7)=0, C7 * 1440, (C7-INT(C7))*1440)</f>
        <v>310.00000000465661</v>
      </c>
      <c r="E7" s="2">
        <v>297</v>
      </c>
      <c r="F7" s="2">
        <f t="shared" si="0"/>
        <v>267</v>
      </c>
      <c r="G7" s="10">
        <f t="shared" si="1"/>
        <v>316.99999999604188</v>
      </c>
      <c r="H7" s="4" t="s">
        <v>21</v>
      </c>
      <c r="I7" s="3">
        <v>5449</v>
      </c>
      <c r="J7" s="2">
        <v>0.9</v>
      </c>
      <c r="K7" s="2">
        <f t="shared" si="2"/>
        <v>2179</v>
      </c>
    </row>
    <row r="8" spans="1:11" x14ac:dyDescent="0.4">
      <c r="A8" s="2" t="s">
        <v>23</v>
      </c>
      <c r="B8" s="2" t="s">
        <v>24</v>
      </c>
      <c r="C8" s="4" t="s">
        <v>25</v>
      </c>
      <c r="D8" s="7">
        <f>IF(INT(C8)=0, C8 * 1440, (C8-INT(C8))*1440)</f>
        <v>384.99999999767169</v>
      </c>
      <c r="E8" s="2">
        <v>160</v>
      </c>
      <c r="F8" s="2">
        <f t="shared" si="0"/>
        <v>144</v>
      </c>
      <c r="G8" s="10">
        <f t="shared" si="1"/>
        <v>387.9999999969732</v>
      </c>
      <c r="H8" s="4" t="s">
        <v>26</v>
      </c>
      <c r="I8" s="3">
        <v>773</v>
      </c>
      <c r="J8" s="2">
        <v>0.9</v>
      </c>
      <c r="K8" s="2">
        <f t="shared" si="2"/>
        <v>309</v>
      </c>
    </row>
    <row r="9" spans="1:11" x14ac:dyDescent="0.4">
      <c r="A9" s="2" t="s">
        <v>27</v>
      </c>
      <c r="B9" s="2" t="s">
        <v>24</v>
      </c>
      <c r="C9" s="4" t="s">
        <v>28</v>
      </c>
      <c r="D9" s="7">
        <f>IF(INT(C9)=0, C9 * 1440, (C9-INT(C9))*1440)</f>
        <v>415.00000000116415</v>
      </c>
      <c r="E9" s="2">
        <v>160</v>
      </c>
      <c r="F9" s="2">
        <f t="shared" si="0"/>
        <v>144</v>
      </c>
      <c r="G9" s="10">
        <f t="shared" si="1"/>
        <v>416.00000000442378</v>
      </c>
      <c r="H9" s="4" t="s">
        <v>29</v>
      </c>
      <c r="I9" s="3">
        <v>672</v>
      </c>
      <c r="J9" s="2">
        <v>0.9</v>
      </c>
      <c r="K9" s="2">
        <f t="shared" si="2"/>
        <v>268</v>
      </c>
    </row>
    <row r="10" spans="1:11" x14ac:dyDescent="0.4">
      <c r="A10" s="2" t="s">
        <v>30</v>
      </c>
      <c r="B10" s="2" t="s">
        <v>31</v>
      </c>
      <c r="C10" s="4" t="s">
        <v>32</v>
      </c>
      <c r="D10" s="7">
        <f>IF(INT(C10)=0, C10 * 1440, (C10-INT(C10))*1440)</f>
        <v>419.99999999650754</v>
      </c>
      <c r="E10" s="2">
        <v>189</v>
      </c>
      <c r="F10" s="2">
        <f t="shared" si="0"/>
        <v>170</v>
      </c>
      <c r="G10" s="10">
        <f t="shared" si="1"/>
        <v>445.00000000465661</v>
      </c>
      <c r="H10" s="4" t="s">
        <v>33</v>
      </c>
      <c r="I10" s="3">
        <v>910</v>
      </c>
      <c r="J10" s="2">
        <v>0.9</v>
      </c>
      <c r="K10" s="2">
        <f t="shared" si="2"/>
        <v>364</v>
      </c>
    </row>
    <row r="11" spans="1:11" x14ac:dyDescent="0.4">
      <c r="A11" s="2" t="s">
        <v>34</v>
      </c>
      <c r="B11" s="2" t="s">
        <v>24</v>
      </c>
      <c r="C11" s="4" t="s">
        <v>32</v>
      </c>
      <c r="D11" s="7">
        <f>IF(INT(C11)=0, C11 * 1440, (C11-INT(C11))*1440)</f>
        <v>419.99999999650754</v>
      </c>
      <c r="E11" s="2">
        <v>160</v>
      </c>
      <c r="F11" s="2">
        <f t="shared" si="0"/>
        <v>144</v>
      </c>
      <c r="G11" s="10">
        <f t="shared" si="1"/>
        <v>422.99999999580905</v>
      </c>
      <c r="H11" s="4" t="s">
        <v>35</v>
      </c>
      <c r="I11" s="3">
        <v>904</v>
      </c>
      <c r="J11" s="2">
        <v>0.9</v>
      </c>
      <c r="K11" s="2">
        <f t="shared" si="2"/>
        <v>361</v>
      </c>
    </row>
    <row r="12" spans="1:11" x14ac:dyDescent="0.4">
      <c r="A12" s="2" t="s">
        <v>36</v>
      </c>
      <c r="B12" s="2" t="s">
        <v>37</v>
      </c>
      <c r="C12" s="4" t="s">
        <v>38</v>
      </c>
      <c r="D12" s="7">
        <f>IF(INT(C12)=0, C12 * 1440, (C12-INT(C12))*1440)</f>
        <v>429.99999999767169</v>
      </c>
      <c r="E12" s="2">
        <v>144</v>
      </c>
      <c r="F12" s="2">
        <f t="shared" si="0"/>
        <v>129</v>
      </c>
      <c r="G12" s="10">
        <f t="shared" si="1"/>
        <v>432.9999999969732</v>
      </c>
      <c r="H12" s="4" t="s">
        <v>39</v>
      </c>
      <c r="I12" s="3">
        <v>1151</v>
      </c>
      <c r="J12" s="2">
        <v>0.9</v>
      </c>
      <c r="K12" s="2">
        <f t="shared" si="2"/>
        <v>460</v>
      </c>
    </row>
    <row r="13" spans="1:11" x14ac:dyDescent="0.4">
      <c r="A13" s="2" t="s">
        <v>41</v>
      </c>
      <c r="B13" s="2" t="s">
        <v>42</v>
      </c>
      <c r="C13" s="4" t="s">
        <v>40</v>
      </c>
      <c r="D13" s="7">
        <f>IF(INT(C13)=0, C13 * 1440, (C13-INT(C13))*1440)</f>
        <v>435.00000000349246</v>
      </c>
      <c r="E13" s="2">
        <v>172</v>
      </c>
      <c r="F13" s="2">
        <f t="shared" si="0"/>
        <v>154</v>
      </c>
      <c r="G13" s="10">
        <f t="shared" si="1"/>
        <v>522.00000000419095</v>
      </c>
      <c r="H13" s="4" t="s">
        <v>43</v>
      </c>
      <c r="I13" s="3">
        <v>597</v>
      </c>
      <c r="J13" s="2">
        <v>0.9</v>
      </c>
      <c r="K13" s="2">
        <f t="shared" si="2"/>
        <v>238</v>
      </c>
    </row>
    <row r="14" spans="1:11" x14ac:dyDescent="0.4">
      <c r="A14" s="2" t="s">
        <v>44</v>
      </c>
      <c r="B14" s="2" t="s">
        <v>45</v>
      </c>
      <c r="C14" s="4" t="s">
        <v>40</v>
      </c>
      <c r="D14" s="7">
        <f>IF(INT(C14)=0, C14 * 1440, (C14-INT(C14))*1440)</f>
        <v>435.00000000349246</v>
      </c>
      <c r="E14" s="2">
        <v>152</v>
      </c>
      <c r="F14" s="2">
        <f t="shared" si="0"/>
        <v>136</v>
      </c>
      <c r="G14" s="10">
        <f t="shared" si="1"/>
        <v>445.00000000465661</v>
      </c>
      <c r="H14" s="4" t="s">
        <v>33</v>
      </c>
      <c r="I14" s="3">
        <v>445</v>
      </c>
      <c r="J14" s="2">
        <v>0.9</v>
      </c>
      <c r="K14" s="2">
        <f t="shared" si="2"/>
        <v>178</v>
      </c>
    </row>
    <row r="15" spans="1:11" x14ac:dyDescent="0.4">
      <c r="A15" s="2" t="s">
        <v>46</v>
      </c>
      <c r="B15" s="2" t="s">
        <v>31</v>
      </c>
      <c r="C15" s="4" t="s">
        <v>33</v>
      </c>
      <c r="D15" s="7">
        <f>IF(INT(C15)=0, C15 * 1440, (C15-INT(C15))*1440)</f>
        <v>445.00000000465661</v>
      </c>
      <c r="E15" s="2">
        <v>189</v>
      </c>
      <c r="F15" s="2">
        <f t="shared" si="0"/>
        <v>170</v>
      </c>
      <c r="G15" s="10">
        <f t="shared" si="1"/>
        <v>515.99999999511056</v>
      </c>
      <c r="H15" s="4" t="s">
        <v>47</v>
      </c>
      <c r="I15" s="3">
        <v>1033</v>
      </c>
      <c r="J15" s="2">
        <v>0.9</v>
      </c>
      <c r="K15" s="2">
        <f t="shared" si="2"/>
        <v>413</v>
      </c>
    </row>
    <row r="16" spans="1:11" x14ac:dyDescent="0.4">
      <c r="A16" s="2" t="s">
        <v>48</v>
      </c>
      <c r="B16" s="2" t="s">
        <v>49</v>
      </c>
      <c r="C16" s="4" t="s">
        <v>33</v>
      </c>
      <c r="D16" s="7">
        <f>IF(INT(C16)=0, C16 * 1440, (C16-INT(C16))*1440)</f>
        <v>445.00000000465661</v>
      </c>
      <c r="E16" s="2">
        <v>144</v>
      </c>
      <c r="F16" s="2">
        <f t="shared" si="0"/>
        <v>129</v>
      </c>
      <c r="G16" s="10">
        <f t="shared" si="1"/>
        <v>487.99999999813735</v>
      </c>
      <c r="H16" s="4" t="s">
        <v>50</v>
      </c>
      <c r="I16" s="3">
        <v>840</v>
      </c>
      <c r="J16" s="2">
        <v>0.9</v>
      </c>
      <c r="K16" s="2">
        <f t="shared" si="2"/>
        <v>336</v>
      </c>
    </row>
    <row r="17" spans="1:11" x14ac:dyDescent="0.4">
      <c r="A17" s="2" t="s">
        <v>51</v>
      </c>
      <c r="B17" s="2" t="s">
        <v>5</v>
      </c>
      <c r="C17" s="4" t="s">
        <v>52</v>
      </c>
      <c r="D17" s="7">
        <f>IF(INT(C17)=0, C17 * 1440, (C17-INT(C17))*1440)</f>
        <v>464.99999999650754</v>
      </c>
      <c r="E17" s="2">
        <v>178</v>
      </c>
      <c r="F17" s="2">
        <f t="shared" si="0"/>
        <v>160</v>
      </c>
      <c r="G17" s="10">
        <f t="shared" si="1"/>
        <v>480.99999999627471</v>
      </c>
      <c r="H17" s="4" t="s">
        <v>53</v>
      </c>
      <c r="I17" s="3">
        <v>1574</v>
      </c>
      <c r="J17" s="2">
        <v>0.9</v>
      </c>
      <c r="K17" s="2">
        <f t="shared" si="2"/>
        <v>629</v>
      </c>
    </row>
    <row r="18" spans="1:11" x14ac:dyDescent="0.4">
      <c r="A18" s="2" t="s">
        <v>57</v>
      </c>
      <c r="B18" s="2" t="s">
        <v>9</v>
      </c>
      <c r="C18" s="4" t="s">
        <v>56</v>
      </c>
      <c r="D18" s="7">
        <f>IF(INT(C18)=0, C18 * 1440, (C18-INT(C18))*1440)</f>
        <v>474.99999999767169</v>
      </c>
      <c r="E18" s="2">
        <v>283</v>
      </c>
      <c r="F18" s="2">
        <f t="shared" si="0"/>
        <v>254</v>
      </c>
      <c r="G18" s="10">
        <f t="shared" si="1"/>
        <v>477.00000000419095</v>
      </c>
      <c r="H18" s="4" t="s">
        <v>54</v>
      </c>
      <c r="I18" s="3">
        <v>784</v>
      </c>
      <c r="J18" s="2">
        <v>0.9</v>
      </c>
      <c r="K18" s="2">
        <f t="shared" si="2"/>
        <v>313</v>
      </c>
    </row>
    <row r="19" spans="1:11" x14ac:dyDescent="0.4">
      <c r="A19" s="2" t="s">
        <v>59</v>
      </c>
      <c r="B19" s="2" t="s">
        <v>20</v>
      </c>
      <c r="C19" s="4" t="s">
        <v>55</v>
      </c>
      <c r="D19" s="7">
        <f>IF(INT(C19)=0, C19 * 1440, (C19-INT(C19))*1440)</f>
        <v>480.00000000349246</v>
      </c>
      <c r="E19" s="2">
        <v>297</v>
      </c>
      <c r="F19" s="2">
        <f t="shared" si="0"/>
        <v>267</v>
      </c>
      <c r="G19" s="10">
        <f t="shared" si="1"/>
        <v>492.00000000069849</v>
      </c>
      <c r="H19" s="4" t="s">
        <v>60</v>
      </c>
      <c r="I19" s="3">
        <v>4229</v>
      </c>
      <c r="J19" s="2">
        <v>0.9</v>
      </c>
      <c r="K19" s="2">
        <f t="shared" si="2"/>
        <v>1691</v>
      </c>
    </row>
    <row r="20" spans="1:11" x14ac:dyDescent="0.4">
      <c r="A20" s="2" t="s">
        <v>61</v>
      </c>
      <c r="B20" s="2" t="s">
        <v>14</v>
      </c>
      <c r="C20" s="4" t="s">
        <v>55</v>
      </c>
      <c r="D20" s="7">
        <f>IF(INT(C20)=0, C20 * 1440, (C20-INT(C20))*1440)</f>
        <v>480.00000000349246</v>
      </c>
      <c r="E20" s="2">
        <v>314</v>
      </c>
      <c r="F20" s="2">
        <f t="shared" si="0"/>
        <v>282</v>
      </c>
      <c r="G20" s="10">
        <f t="shared" si="1"/>
        <v>480.99999999627471</v>
      </c>
      <c r="H20" s="4" t="s">
        <v>53</v>
      </c>
      <c r="I20" s="3">
        <v>741</v>
      </c>
      <c r="J20" s="2">
        <v>0.9</v>
      </c>
      <c r="K20" s="2">
        <f t="shared" si="2"/>
        <v>296</v>
      </c>
    </row>
    <row r="21" spans="1:11" x14ac:dyDescent="0.4">
      <c r="A21" s="2" t="s">
        <v>64</v>
      </c>
      <c r="B21" s="2" t="s">
        <v>31</v>
      </c>
      <c r="C21" s="4" t="s">
        <v>55</v>
      </c>
      <c r="D21" s="7">
        <f>IF(INT(C21)=0, C21 * 1440, (C21-INT(C21))*1440)</f>
        <v>480.00000000349246</v>
      </c>
      <c r="E21" s="2">
        <v>189</v>
      </c>
      <c r="F21" s="2">
        <f t="shared" si="0"/>
        <v>170</v>
      </c>
      <c r="G21" s="10">
        <f t="shared" si="1"/>
        <v>555.99999999976717</v>
      </c>
      <c r="H21" s="4" t="s">
        <v>65</v>
      </c>
      <c r="I21" s="3">
        <v>1159</v>
      </c>
      <c r="J21" s="2">
        <v>0.9</v>
      </c>
      <c r="K21" s="2">
        <f t="shared" si="2"/>
        <v>463</v>
      </c>
    </row>
    <row r="22" spans="1:11" x14ac:dyDescent="0.4">
      <c r="A22" s="2" t="s">
        <v>67</v>
      </c>
      <c r="B22" s="2" t="s">
        <v>68</v>
      </c>
      <c r="C22" s="4" t="s">
        <v>62</v>
      </c>
      <c r="D22" s="7">
        <f>IF(INT(C22)=0, C22 * 1440, (C22-INT(C22))*1440)</f>
        <v>484.99999999883585</v>
      </c>
      <c r="E22" s="2">
        <v>169</v>
      </c>
      <c r="F22" s="2">
        <f t="shared" si="0"/>
        <v>152</v>
      </c>
      <c r="G22" s="10">
        <f t="shared" si="1"/>
        <v>535.99999999743886</v>
      </c>
      <c r="H22" s="4" t="s">
        <v>69</v>
      </c>
      <c r="I22" s="3">
        <v>1531</v>
      </c>
      <c r="J22" s="2">
        <v>0.9</v>
      </c>
      <c r="K22" s="2">
        <f t="shared" si="2"/>
        <v>612</v>
      </c>
    </row>
    <row r="23" spans="1:11" x14ac:dyDescent="0.4">
      <c r="A23" s="2" t="s">
        <v>71</v>
      </c>
      <c r="B23" s="2" t="s">
        <v>72</v>
      </c>
      <c r="C23" s="4" t="s">
        <v>70</v>
      </c>
      <c r="D23" s="7">
        <f>IF(INT(C23)=0, C23 * 1440, (C23-INT(C23))*1440)</f>
        <v>490.00000000465661</v>
      </c>
      <c r="E23" s="2">
        <v>361</v>
      </c>
      <c r="F23" s="2">
        <f t="shared" si="0"/>
        <v>324</v>
      </c>
      <c r="G23" s="10">
        <f t="shared" si="1"/>
        <v>493.99999999674037</v>
      </c>
      <c r="H23" s="4" t="s">
        <v>63</v>
      </c>
      <c r="I23" s="3">
        <v>646</v>
      </c>
      <c r="J23" s="2">
        <v>0.9</v>
      </c>
      <c r="K23" s="2">
        <f t="shared" si="2"/>
        <v>258</v>
      </c>
    </row>
    <row r="24" spans="1:11" x14ac:dyDescent="0.4">
      <c r="A24" s="2" t="s">
        <v>73</v>
      </c>
      <c r="B24" s="2" t="s">
        <v>14</v>
      </c>
      <c r="C24" s="4" t="s">
        <v>70</v>
      </c>
      <c r="D24" s="7">
        <f>IF(INT(C24)=0, C24 * 1440, (C24-INT(C24))*1440)</f>
        <v>490.00000000465661</v>
      </c>
      <c r="E24" s="2">
        <v>314</v>
      </c>
      <c r="F24" s="2">
        <f t="shared" si="0"/>
        <v>282</v>
      </c>
      <c r="G24" s="10">
        <f t="shared" si="1"/>
        <v>513.99999999906868</v>
      </c>
      <c r="H24" s="4" t="s">
        <v>74</v>
      </c>
      <c r="I24" s="3">
        <v>1579</v>
      </c>
      <c r="J24" s="2">
        <v>0.9</v>
      </c>
      <c r="K24" s="2">
        <f t="shared" si="2"/>
        <v>631</v>
      </c>
    </row>
    <row r="25" spans="1:11" x14ac:dyDescent="0.4">
      <c r="A25" s="2" t="s">
        <v>79</v>
      </c>
      <c r="B25" s="2" t="s">
        <v>5</v>
      </c>
      <c r="C25" s="4" t="s">
        <v>77</v>
      </c>
      <c r="D25" s="7">
        <f>IF(INT(C25)=0, C25 * 1440, (C25-INT(C25))*1440)</f>
        <v>499.99999999534339</v>
      </c>
      <c r="E25" s="2">
        <v>178</v>
      </c>
      <c r="F25" s="2">
        <f t="shared" si="0"/>
        <v>160</v>
      </c>
      <c r="G25" s="10">
        <f t="shared" si="1"/>
        <v>506.00000000442378</v>
      </c>
      <c r="H25" s="4" t="s">
        <v>80</v>
      </c>
      <c r="I25" s="3">
        <v>824</v>
      </c>
      <c r="J25" s="2">
        <v>0.9</v>
      </c>
      <c r="K25" s="2">
        <f t="shared" si="2"/>
        <v>329</v>
      </c>
    </row>
    <row r="26" spans="1:11" x14ac:dyDescent="0.4">
      <c r="A26" s="2" t="s">
        <v>81</v>
      </c>
      <c r="B26" s="2" t="s">
        <v>31</v>
      </c>
      <c r="C26" s="4" t="s">
        <v>77</v>
      </c>
      <c r="D26" s="7">
        <f>IF(INT(C26)=0, C26 * 1440, (C26-INT(C26))*1440)</f>
        <v>499.99999999534339</v>
      </c>
      <c r="E26" s="2">
        <v>189</v>
      </c>
      <c r="F26" s="2">
        <f t="shared" si="0"/>
        <v>170</v>
      </c>
      <c r="G26" s="10">
        <f t="shared" si="1"/>
        <v>512.99999999580905</v>
      </c>
      <c r="H26" s="4" t="s">
        <v>82</v>
      </c>
      <c r="I26" s="3">
        <v>877</v>
      </c>
      <c r="J26" s="2">
        <v>0.9</v>
      </c>
      <c r="K26" s="2">
        <f t="shared" si="2"/>
        <v>350</v>
      </c>
    </row>
    <row r="27" spans="1:11" x14ac:dyDescent="0.4">
      <c r="A27" s="2" t="s">
        <v>83</v>
      </c>
      <c r="B27" s="2" t="s">
        <v>84</v>
      </c>
      <c r="C27" s="4" t="s">
        <v>78</v>
      </c>
      <c r="D27" s="7">
        <f>IF(INT(C27)=0, C27 * 1440, (C27-INT(C27))*1440)</f>
        <v>505.00000000116415</v>
      </c>
      <c r="E27" s="2">
        <v>164</v>
      </c>
      <c r="F27" s="2">
        <f t="shared" si="0"/>
        <v>147</v>
      </c>
      <c r="G27" s="10">
        <f t="shared" si="1"/>
        <v>506.99999999720603</v>
      </c>
      <c r="H27" s="4" t="s">
        <v>85</v>
      </c>
      <c r="I27" s="3">
        <v>1964</v>
      </c>
      <c r="J27" s="2">
        <v>0.9</v>
      </c>
      <c r="K27" s="2">
        <f t="shared" si="2"/>
        <v>785</v>
      </c>
    </row>
    <row r="28" spans="1:11" x14ac:dyDescent="0.4">
      <c r="A28" s="2" t="s">
        <v>86</v>
      </c>
      <c r="B28" s="2" t="s">
        <v>37</v>
      </c>
      <c r="C28" s="4" t="s">
        <v>78</v>
      </c>
      <c r="D28" s="7">
        <f>IF(INT(C28)=0, C28 * 1440, (C28-INT(C28))*1440)</f>
        <v>505.00000000116415</v>
      </c>
      <c r="E28" s="2">
        <v>144</v>
      </c>
      <c r="F28" s="2">
        <f t="shared" si="0"/>
        <v>129</v>
      </c>
      <c r="G28" s="10">
        <f t="shared" si="1"/>
        <v>512.0000000030268</v>
      </c>
      <c r="H28" s="4" t="s">
        <v>76</v>
      </c>
      <c r="I28" s="3">
        <v>999</v>
      </c>
      <c r="J28" s="2">
        <v>0.9</v>
      </c>
      <c r="K28" s="2">
        <f t="shared" si="2"/>
        <v>399</v>
      </c>
    </row>
    <row r="29" spans="1:11" x14ac:dyDescent="0.4">
      <c r="A29" s="2" t="s">
        <v>87</v>
      </c>
      <c r="B29" s="2" t="s">
        <v>24</v>
      </c>
      <c r="C29" s="4" t="s">
        <v>78</v>
      </c>
      <c r="D29" s="7">
        <f>IF(INT(C29)=0, C29 * 1440, (C29-INT(C29))*1440)</f>
        <v>505.00000000116415</v>
      </c>
      <c r="E29" s="2">
        <v>160</v>
      </c>
      <c r="F29" s="2">
        <f t="shared" si="0"/>
        <v>144</v>
      </c>
      <c r="G29" s="10">
        <f t="shared" si="1"/>
        <v>518.00000000162981</v>
      </c>
      <c r="H29" s="4" t="s">
        <v>88</v>
      </c>
      <c r="I29" s="3">
        <v>1157</v>
      </c>
      <c r="J29" s="2">
        <v>0.9</v>
      </c>
      <c r="K29" s="2">
        <f t="shared" si="2"/>
        <v>462</v>
      </c>
    </row>
    <row r="30" spans="1:11" x14ac:dyDescent="0.4">
      <c r="A30" s="2" t="s">
        <v>89</v>
      </c>
      <c r="B30" s="2" t="s">
        <v>5</v>
      </c>
      <c r="C30" s="4" t="s">
        <v>66</v>
      </c>
      <c r="D30" s="7">
        <f>IF(INT(C30)=0, C30 * 1440, (C30-INT(C30))*1440)</f>
        <v>509.99999999650754</v>
      </c>
      <c r="E30" s="2">
        <v>178</v>
      </c>
      <c r="F30" s="2">
        <f t="shared" si="0"/>
        <v>160</v>
      </c>
      <c r="G30" s="10">
        <f t="shared" si="1"/>
        <v>757.99999999813735</v>
      </c>
      <c r="H30" s="4" t="s">
        <v>90</v>
      </c>
      <c r="I30" s="3">
        <v>1142</v>
      </c>
      <c r="J30" s="2">
        <v>0.9</v>
      </c>
      <c r="K30" s="2">
        <f t="shared" si="2"/>
        <v>456</v>
      </c>
    </row>
    <row r="31" spans="1:11" x14ac:dyDescent="0.4">
      <c r="A31" s="2" t="s">
        <v>91</v>
      </c>
      <c r="B31" s="2" t="s">
        <v>31</v>
      </c>
      <c r="C31" s="4" t="s">
        <v>66</v>
      </c>
      <c r="D31" s="7">
        <f>IF(INT(C31)=0, C31 * 1440, (C31-INT(C31))*1440)</f>
        <v>509.99999999650754</v>
      </c>
      <c r="E31" s="2">
        <v>189</v>
      </c>
      <c r="F31" s="2">
        <f t="shared" si="0"/>
        <v>170</v>
      </c>
      <c r="G31" s="10">
        <f t="shared" si="1"/>
        <v>513.99999999906868</v>
      </c>
      <c r="H31" s="4" t="s">
        <v>74</v>
      </c>
      <c r="I31" s="3">
        <v>650</v>
      </c>
      <c r="J31" s="2">
        <v>0.9</v>
      </c>
      <c r="K31" s="2">
        <f t="shared" si="2"/>
        <v>260</v>
      </c>
    </row>
    <row r="32" spans="1:11" x14ac:dyDescent="0.4">
      <c r="A32" s="2" t="s">
        <v>94</v>
      </c>
      <c r="B32" s="2" t="s">
        <v>24</v>
      </c>
      <c r="C32" s="4" t="s">
        <v>66</v>
      </c>
      <c r="D32" s="7">
        <f>IF(INT(C32)=0, C32 * 1440, (C32-INT(C32))*1440)</f>
        <v>509.99999999650754</v>
      </c>
      <c r="E32" s="2">
        <v>160</v>
      </c>
      <c r="F32" s="2">
        <f t="shared" si="0"/>
        <v>144</v>
      </c>
      <c r="G32" s="10">
        <f t="shared" si="1"/>
        <v>529.99999999883585</v>
      </c>
      <c r="H32" s="4" t="s">
        <v>95</v>
      </c>
      <c r="I32" s="3">
        <v>787</v>
      </c>
      <c r="J32" s="2">
        <v>0.9</v>
      </c>
      <c r="K32" s="2">
        <f t="shared" si="2"/>
        <v>314</v>
      </c>
    </row>
    <row r="33" spans="1:11" x14ac:dyDescent="0.4">
      <c r="A33" s="2" t="s">
        <v>96</v>
      </c>
      <c r="B33" s="2" t="s">
        <v>84</v>
      </c>
      <c r="C33" s="4" t="s">
        <v>66</v>
      </c>
      <c r="D33" s="7">
        <f>IF(INT(C33)=0, C33 * 1440, (C33-INT(C33))*1440)</f>
        <v>509.99999999650754</v>
      </c>
      <c r="E33" s="2">
        <v>164</v>
      </c>
      <c r="F33" s="2">
        <f t="shared" si="0"/>
        <v>147</v>
      </c>
      <c r="G33" s="10">
        <f t="shared" si="1"/>
        <v>541.00000000325963</v>
      </c>
      <c r="H33" s="4" t="s">
        <v>97</v>
      </c>
      <c r="I33" s="3">
        <v>1841</v>
      </c>
      <c r="J33" s="2">
        <v>0.9</v>
      </c>
      <c r="K33" s="2">
        <f t="shared" si="2"/>
        <v>736</v>
      </c>
    </row>
    <row r="34" spans="1:11" x14ac:dyDescent="0.4">
      <c r="A34" s="2" t="s">
        <v>98</v>
      </c>
      <c r="B34" s="2" t="s">
        <v>17</v>
      </c>
      <c r="C34" s="4" t="s">
        <v>66</v>
      </c>
      <c r="D34" s="7">
        <f>IF(INT(C34)=0, C34 * 1440, (C34-INT(C34))*1440)</f>
        <v>509.99999999650754</v>
      </c>
      <c r="E34" s="2">
        <v>286</v>
      </c>
      <c r="F34" s="2">
        <f t="shared" si="0"/>
        <v>257</v>
      </c>
      <c r="G34" s="10">
        <f t="shared" si="1"/>
        <v>510.99999999976717</v>
      </c>
      <c r="H34" s="4" t="s">
        <v>92</v>
      </c>
      <c r="I34" s="3">
        <v>1107</v>
      </c>
      <c r="J34" s="2">
        <v>0.9</v>
      </c>
      <c r="K34" s="2">
        <f t="shared" si="2"/>
        <v>442</v>
      </c>
    </row>
    <row r="35" spans="1:11" x14ac:dyDescent="0.4">
      <c r="A35" s="2" t="s">
        <v>99</v>
      </c>
      <c r="B35" s="2" t="s">
        <v>24</v>
      </c>
      <c r="C35" s="4" t="s">
        <v>75</v>
      </c>
      <c r="D35" s="7">
        <f>IF(INT(C35)=0, C35 * 1440, (C35-INT(C35))*1440)</f>
        <v>515.00000000232831</v>
      </c>
      <c r="E35" s="2">
        <v>160</v>
      </c>
      <c r="F35" s="2">
        <f t="shared" si="0"/>
        <v>144</v>
      </c>
      <c r="G35" s="10">
        <f t="shared" si="1"/>
        <v>600.99999999976717</v>
      </c>
      <c r="H35" s="4" t="s">
        <v>100</v>
      </c>
      <c r="I35" s="3">
        <v>1024</v>
      </c>
      <c r="J35" s="2">
        <v>0.9</v>
      </c>
      <c r="K35" s="2">
        <f t="shared" si="2"/>
        <v>409</v>
      </c>
    </row>
    <row r="36" spans="1:11" x14ac:dyDescent="0.4">
      <c r="A36" s="2" t="s">
        <v>101</v>
      </c>
      <c r="B36" s="2" t="s">
        <v>72</v>
      </c>
      <c r="C36" s="4" t="s">
        <v>75</v>
      </c>
      <c r="D36" s="7">
        <f>IF(INT(C36)=0, C36 * 1440, (C36-INT(C36))*1440)</f>
        <v>515.00000000232831</v>
      </c>
      <c r="E36" s="2">
        <v>361</v>
      </c>
      <c r="F36" s="2">
        <f t="shared" si="0"/>
        <v>324</v>
      </c>
      <c r="G36" s="10">
        <f t="shared" si="1"/>
        <v>576.00000000209548</v>
      </c>
      <c r="H36" s="4" t="s">
        <v>102</v>
      </c>
      <c r="I36" s="3">
        <v>1457</v>
      </c>
      <c r="J36" s="2">
        <v>0.9</v>
      </c>
      <c r="K36" s="2">
        <f t="shared" si="2"/>
        <v>582</v>
      </c>
    </row>
    <row r="37" spans="1:11" x14ac:dyDescent="0.4">
      <c r="A37" s="2" t="s">
        <v>104</v>
      </c>
      <c r="B37" s="2" t="s">
        <v>24</v>
      </c>
      <c r="C37" s="4" t="s">
        <v>58</v>
      </c>
      <c r="D37" s="7">
        <f>IF(INT(C37)=0, C37 * 1440, (C37-INT(C37))*1440)</f>
        <v>525.00000000349246</v>
      </c>
      <c r="E37" s="2">
        <v>160</v>
      </c>
      <c r="F37" s="2">
        <f t="shared" si="0"/>
        <v>144</v>
      </c>
      <c r="G37" s="10">
        <f t="shared" si="1"/>
        <v>535.99999999743886</v>
      </c>
      <c r="H37" s="4" t="s">
        <v>69</v>
      </c>
      <c r="I37" s="3">
        <v>1611</v>
      </c>
      <c r="J37" s="2">
        <v>0.9</v>
      </c>
      <c r="K37" s="2">
        <f t="shared" si="2"/>
        <v>644</v>
      </c>
    </row>
    <row r="38" spans="1:11" x14ac:dyDescent="0.4">
      <c r="A38" s="2" t="s">
        <v>106</v>
      </c>
      <c r="B38" s="2" t="s">
        <v>17</v>
      </c>
      <c r="C38" s="4" t="s">
        <v>107</v>
      </c>
      <c r="D38" s="7">
        <f>IF(INT(C38)=0, C38 * 1440, (C38-INT(C38))*1440)</f>
        <v>540</v>
      </c>
      <c r="E38" s="2">
        <v>286</v>
      </c>
      <c r="F38" s="2">
        <f t="shared" si="0"/>
        <v>257</v>
      </c>
      <c r="G38" s="10">
        <f t="shared" si="1"/>
        <v>555.99999999976717</v>
      </c>
      <c r="H38" s="4" t="s">
        <v>65</v>
      </c>
      <c r="I38" s="3">
        <v>1020</v>
      </c>
      <c r="J38" s="2">
        <v>0.9</v>
      </c>
      <c r="K38" s="2">
        <f t="shared" si="2"/>
        <v>408</v>
      </c>
    </row>
    <row r="39" spans="1:11" x14ac:dyDescent="0.4">
      <c r="A39" s="2" t="s">
        <v>108</v>
      </c>
      <c r="B39" s="2" t="s">
        <v>109</v>
      </c>
      <c r="C39" s="4" t="s">
        <v>107</v>
      </c>
      <c r="D39" s="7">
        <f>IF(INT(C39)=0, C39 * 1440, (C39-INT(C39))*1440)</f>
        <v>540</v>
      </c>
      <c r="E39" s="2">
        <v>138</v>
      </c>
      <c r="F39" s="2">
        <f t="shared" si="0"/>
        <v>124</v>
      </c>
      <c r="G39" s="10">
        <f t="shared" si="1"/>
        <v>569.00000000023283</v>
      </c>
      <c r="H39" s="4" t="s">
        <v>110</v>
      </c>
      <c r="I39" s="3">
        <v>799</v>
      </c>
      <c r="J39" s="2">
        <v>0.9</v>
      </c>
      <c r="K39" s="2">
        <f t="shared" si="2"/>
        <v>319</v>
      </c>
    </row>
    <row r="40" spans="1:11" x14ac:dyDescent="0.4">
      <c r="A40" s="2" t="s">
        <v>113</v>
      </c>
      <c r="B40" s="2" t="s">
        <v>9</v>
      </c>
      <c r="C40" s="4" t="s">
        <v>107</v>
      </c>
      <c r="D40" s="7">
        <f>IF(INT(C40)=0, C40 * 1440, (C40-INT(C40))*1440)</f>
        <v>540</v>
      </c>
      <c r="E40" s="2">
        <v>283</v>
      </c>
      <c r="F40" s="2">
        <f t="shared" si="0"/>
        <v>254</v>
      </c>
      <c r="G40" s="10">
        <f t="shared" si="1"/>
        <v>544.99999999534339</v>
      </c>
      <c r="H40" s="4" t="s">
        <v>114</v>
      </c>
      <c r="I40" s="3">
        <v>653</v>
      </c>
      <c r="J40" s="2">
        <v>0.9</v>
      </c>
      <c r="K40" s="2">
        <f t="shared" si="2"/>
        <v>261</v>
      </c>
    </row>
    <row r="41" spans="1:11" x14ac:dyDescent="0.4">
      <c r="A41" s="2" t="s">
        <v>115</v>
      </c>
      <c r="B41" s="2" t="s">
        <v>20</v>
      </c>
      <c r="C41" s="4" t="s">
        <v>114</v>
      </c>
      <c r="D41" s="7">
        <f>IF(INT(C41)=0, C41 * 1440, (C41-INT(C41))*1440)</f>
        <v>544.99999999534339</v>
      </c>
      <c r="E41" s="2">
        <v>297</v>
      </c>
      <c r="F41" s="2">
        <f t="shared" si="0"/>
        <v>267</v>
      </c>
      <c r="G41" s="10">
        <f t="shared" si="1"/>
        <v>545.99999999860302</v>
      </c>
      <c r="H41" s="4" t="s">
        <v>116</v>
      </c>
      <c r="I41" s="3">
        <v>2041</v>
      </c>
      <c r="J41" s="2">
        <v>0.9</v>
      </c>
      <c r="K41" s="2">
        <f t="shared" si="2"/>
        <v>816</v>
      </c>
    </row>
    <row r="42" spans="1:11" x14ac:dyDescent="0.4">
      <c r="A42" s="2" t="s">
        <v>118</v>
      </c>
      <c r="B42" s="2" t="s">
        <v>37</v>
      </c>
      <c r="C42" s="4" t="s">
        <v>114</v>
      </c>
      <c r="D42" s="7">
        <f>IF(INT(C42)=0, C42 * 1440, (C42-INT(C42))*1440)</f>
        <v>544.99999999534339</v>
      </c>
      <c r="E42" s="2">
        <v>144</v>
      </c>
      <c r="F42" s="2">
        <f t="shared" si="0"/>
        <v>129</v>
      </c>
      <c r="G42" s="10">
        <f t="shared" si="1"/>
        <v>573.99999999557622</v>
      </c>
      <c r="H42" s="4" t="s">
        <v>119</v>
      </c>
      <c r="I42" s="3">
        <v>534</v>
      </c>
      <c r="J42" s="2">
        <v>0.9</v>
      </c>
      <c r="K42" s="2">
        <f t="shared" si="2"/>
        <v>213</v>
      </c>
    </row>
    <row r="43" spans="1:11" x14ac:dyDescent="0.4">
      <c r="A43" s="2" t="s">
        <v>122</v>
      </c>
      <c r="B43" s="2" t="s">
        <v>24</v>
      </c>
      <c r="C43" s="4" t="s">
        <v>120</v>
      </c>
      <c r="D43" s="7">
        <f>IF(INT(C43)=0, C43 * 1440, (C43-INT(C43))*1440)</f>
        <v>550.00000000116415</v>
      </c>
      <c r="E43" s="2">
        <v>160</v>
      </c>
      <c r="F43" s="2">
        <f t="shared" si="0"/>
        <v>144</v>
      </c>
      <c r="G43" s="10">
        <f t="shared" si="1"/>
        <v>560.99999999511056</v>
      </c>
      <c r="H43" s="4" t="s">
        <v>123</v>
      </c>
      <c r="I43" s="3">
        <v>701</v>
      </c>
      <c r="J43" s="2">
        <v>0.9</v>
      </c>
      <c r="K43" s="2">
        <f t="shared" si="2"/>
        <v>280</v>
      </c>
    </row>
    <row r="44" spans="1:11" x14ac:dyDescent="0.4">
      <c r="A44" s="2" t="s">
        <v>124</v>
      </c>
      <c r="B44" s="2" t="s">
        <v>9</v>
      </c>
      <c r="C44" s="4" t="s">
        <v>120</v>
      </c>
      <c r="D44" s="7">
        <f>IF(INT(C44)=0, C44 * 1440, (C44-INT(C44))*1440)</f>
        <v>550.00000000116415</v>
      </c>
      <c r="E44" s="2">
        <v>283</v>
      </c>
      <c r="F44" s="2">
        <f t="shared" si="0"/>
        <v>254</v>
      </c>
      <c r="G44" s="10">
        <f t="shared" si="1"/>
        <v>557.0000000030268</v>
      </c>
      <c r="H44" s="4" t="s">
        <v>117</v>
      </c>
      <c r="I44" s="3">
        <v>511</v>
      </c>
      <c r="J44" s="2">
        <v>0.9</v>
      </c>
      <c r="K44" s="2">
        <f t="shared" si="2"/>
        <v>204</v>
      </c>
    </row>
    <row r="45" spans="1:11" x14ac:dyDescent="0.4">
      <c r="A45" s="2" t="s">
        <v>125</v>
      </c>
      <c r="B45" s="2" t="s">
        <v>5</v>
      </c>
      <c r="C45" s="4" t="s">
        <v>126</v>
      </c>
      <c r="D45" s="7">
        <f>IF(INT(C45)=0, C45 * 1440, (C45-INT(C45))*1440)</f>
        <v>560.00000000232831</v>
      </c>
      <c r="E45" s="2">
        <v>178</v>
      </c>
      <c r="F45" s="2">
        <f t="shared" si="0"/>
        <v>160</v>
      </c>
      <c r="G45" s="10">
        <f t="shared" si="1"/>
        <v>683.99999999790452</v>
      </c>
      <c r="H45" s="4" t="s">
        <v>127</v>
      </c>
      <c r="I45" s="3">
        <v>879</v>
      </c>
      <c r="J45" s="2">
        <v>0.9</v>
      </c>
      <c r="K45" s="2">
        <f t="shared" si="2"/>
        <v>351</v>
      </c>
    </row>
    <row r="46" spans="1:11" x14ac:dyDescent="0.4">
      <c r="A46" s="2" t="s">
        <v>128</v>
      </c>
      <c r="B46" s="2" t="s">
        <v>5</v>
      </c>
      <c r="C46" s="4" t="s">
        <v>126</v>
      </c>
      <c r="D46" s="7">
        <f>IF(INT(C46)=0, C46 * 1440, (C46-INT(C46))*1440)</f>
        <v>560.00000000232831</v>
      </c>
      <c r="E46" s="2">
        <v>178</v>
      </c>
      <c r="F46" s="2">
        <f t="shared" si="0"/>
        <v>160</v>
      </c>
      <c r="G46" s="10">
        <f t="shared" si="1"/>
        <v>563.00000000162981</v>
      </c>
      <c r="H46" s="4" t="s">
        <v>129</v>
      </c>
      <c r="I46" s="3">
        <v>524</v>
      </c>
      <c r="J46" s="2">
        <v>0.9</v>
      </c>
      <c r="K46" s="2">
        <f t="shared" si="2"/>
        <v>209</v>
      </c>
    </row>
    <row r="47" spans="1:11" x14ac:dyDescent="0.4">
      <c r="A47" s="2" t="s">
        <v>130</v>
      </c>
      <c r="B47" s="2" t="s">
        <v>24</v>
      </c>
      <c r="C47" s="4" t="s">
        <v>126</v>
      </c>
      <c r="D47" s="7">
        <f>IF(INT(C47)=0, C47 * 1440, (C47-INT(C47))*1440)</f>
        <v>560.00000000232831</v>
      </c>
      <c r="E47" s="2">
        <v>160</v>
      </c>
      <c r="F47" s="2">
        <f t="shared" si="0"/>
        <v>144</v>
      </c>
      <c r="G47" s="10">
        <f t="shared" si="1"/>
        <v>567.00000000419095</v>
      </c>
      <c r="H47" s="4" t="s">
        <v>112</v>
      </c>
      <c r="I47" s="3">
        <v>853</v>
      </c>
      <c r="J47" s="2">
        <v>0.9</v>
      </c>
      <c r="K47" s="2">
        <f t="shared" si="2"/>
        <v>341</v>
      </c>
    </row>
    <row r="48" spans="1:11" x14ac:dyDescent="0.4">
      <c r="A48" s="2" t="s">
        <v>132</v>
      </c>
      <c r="B48" s="2" t="s">
        <v>37</v>
      </c>
      <c r="C48" s="4" t="s">
        <v>131</v>
      </c>
      <c r="D48" s="7">
        <f>IF(INT(C48)=0, C48 * 1440, (C48-INT(C48))*1440)</f>
        <v>564.99999999767169</v>
      </c>
      <c r="E48" s="2">
        <v>144</v>
      </c>
      <c r="F48" s="2">
        <f t="shared" si="0"/>
        <v>129</v>
      </c>
      <c r="G48" s="10">
        <f t="shared" si="1"/>
        <v>571.99999999953434</v>
      </c>
      <c r="H48" s="4" t="s">
        <v>121</v>
      </c>
      <c r="I48" s="3">
        <v>755</v>
      </c>
      <c r="J48" s="2">
        <v>0.9</v>
      </c>
      <c r="K48" s="2">
        <f t="shared" si="2"/>
        <v>302</v>
      </c>
    </row>
    <row r="49" spans="1:11" x14ac:dyDescent="0.4">
      <c r="A49" s="2" t="s">
        <v>133</v>
      </c>
      <c r="B49" s="2" t="s">
        <v>24</v>
      </c>
      <c r="C49" s="4" t="s">
        <v>131</v>
      </c>
      <c r="D49" s="7">
        <f>IF(INT(C49)=0, C49 * 1440, (C49-INT(C49))*1440)</f>
        <v>564.99999999767169</v>
      </c>
      <c r="E49" s="2">
        <v>160</v>
      </c>
      <c r="F49" s="2">
        <f t="shared" si="0"/>
        <v>144</v>
      </c>
      <c r="G49" s="10">
        <f t="shared" si="1"/>
        <v>962.0000000030268</v>
      </c>
      <c r="H49" s="4" t="s">
        <v>134</v>
      </c>
      <c r="I49" s="3">
        <v>819</v>
      </c>
      <c r="J49" s="2">
        <v>0.9</v>
      </c>
      <c r="K49" s="2">
        <f t="shared" si="2"/>
        <v>327</v>
      </c>
    </row>
    <row r="50" spans="1:11" x14ac:dyDescent="0.4">
      <c r="A50" s="2" t="s">
        <v>135</v>
      </c>
      <c r="B50" s="2" t="s">
        <v>5</v>
      </c>
      <c r="C50" s="4" t="s">
        <v>103</v>
      </c>
      <c r="D50" s="7">
        <f>IF(INT(C50)=0, C50 * 1440, (C50-INT(C50))*1440)</f>
        <v>570.00000000349246</v>
      </c>
      <c r="E50" s="2">
        <v>178</v>
      </c>
      <c r="F50" s="2">
        <f t="shared" si="0"/>
        <v>160</v>
      </c>
      <c r="G50" s="10">
        <f t="shared" si="1"/>
        <v>573.99999999557622</v>
      </c>
      <c r="H50" s="4" t="s">
        <v>119</v>
      </c>
      <c r="I50" s="3">
        <v>454</v>
      </c>
      <c r="J50" s="2">
        <v>0.9</v>
      </c>
      <c r="K50" s="2">
        <f t="shared" si="2"/>
        <v>181</v>
      </c>
    </row>
    <row r="51" spans="1:11" x14ac:dyDescent="0.4">
      <c r="A51" s="2" t="s">
        <v>136</v>
      </c>
      <c r="B51" s="2" t="s">
        <v>72</v>
      </c>
      <c r="C51" s="4" t="s">
        <v>103</v>
      </c>
      <c r="D51" s="7">
        <f>IF(INT(C51)=0, C51 * 1440, (C51-INT(C51))*1440)</f>
        <v>570.00000000349246</v>
      </c>
      <c r="E51" s="2">
        <v>361</v>
      </c>
      <c r="F51" s="2">
        <f t="shared" si="0"/>
        <v>324</v>
      </c>
      <c r="G51" s="10">
        <f t="shared" si="1"/>
        <v>586.00000000325963</v>
      </c>
      <c r="H51" s="4" t="s">
        <v>137</v>
      </c>
      <c r="I51" s="3">
        <v>1099</v>
      </c>
      <c r="J51" s="2">
        <v>0.9</v>
      </c>
      <c r="K51" s="2">
        <f t="shared" si="2"/>
        <v>439</v>
      </c>
    </row>
    <row r="52" spans="1:11" x14ac:dyDescent="0.4">
      <c r="A52" s="2" t="s">
        <v>139</v>
      </c>
      <c r="B52" s="2" t="s">
        <v>5</v>
      </c>
      <c r="C52" s="4" t="s">
        <v>138</v>
      </c>
      <c r="D52" s="7">
        <f>IF(INT(C52)=0, C52 * 1440, (C52-INT(C52))*1440)</f>
        <v>574.99999999883585</v>
      </c>
      <c r="E52" s="2">
        <v>178</v>
      </c>
      <c r="F52" s="2">
        <f t="shared" si="0"/>
        <v>160</v>
      </c>
      <c r="G52" s="10">
        <f t="shared" si="1"/>
        <v>579.00000000139698</v>
      </c>
      <c r="H52" s="4" t="s">
        <v>140</v>
      </c>
      <c r="I52" s="3">
        <v>834</v>
      </c>
      <c r="J52" s="2">
        <v>0.9</v>
      </c>
      <c r="K52" s="2">
        <f t="shared" si="2"/>
        <v>333</v>
      </c>
    </row>
    <row r="53" spans="1:11" x14ac:dyDescent="0.4">
      <c r="A53" s="2" t="s">
        <v>143</v>
      </c>
      <c r="B53" s="2" t="s">
        <v>24</v>
      </c>
      <c r="C53" s="4" t="s">
        <v>142</v>
      </c>
      <c r="D53" s="7">
        <f>IF(INT(C53)=0, C53 * 1440, (C53-INT(C53))*1440)</f>
        <v>585</v>
      </c>
      <c r="E53" s="2">
        <v>160</v>
      </c>
      <c r="F53" s="2">
        <f t="shared" si="0"/>
        <v>144</v>
      </c>
      <c r="G53" s="10">
        <f t="shared" si="1"/>
        <v>586.99999999604188</v>
      </c>
      <c r="H53" s="4" t="s">
        <v>144</v>
      </c>
      <c r="I53" s="3">
        <v>1679</v>
      </c>
      <c r="J53" s="2">
        <v>0.9</v>
      </c>
      <c r="K53" s="2">
        <f t="shared" si="2"/>
        <v>671</v>
      </c>
    </row>
    <row r="54" spans="1:11" x14ac:dyDescent="0.4">
      <c r="A54" s="2" t="s">
        <v>145</v>
      </c>
      <c r="B54" s="2" t="s">
        <v>24</v>
      </c>
      <c r="C54" s="4" t="s">
        <v>146</v>
      </c>
      <c r="D54" s="7">
        <f>IF(INT(C54)=0, C54 * 1440, (C54-INT(C54))*1440)</f>
        <v>589.99999999534339</v>
      </c>
      <c r="E54" s="2">
        <v>160</v>
      </c>
      <c r="F54" s="2">
        <f t="shared" si="0"/>
        <v>144</v>
      </c>
      <c r="G54" s="10">
        <f t="shared" si="1"/>
        <v>593.99999999790452</v>
      </c>
      <c r="H54" s="4" t="s">
        <v>147</v>
      </c>
      <c r="I54" s="3">
        <v>526</v>
      </c>
      <c r="J54" s="2">
        <v>0.9</v>
      </c>
      <c r="K54" s="2">
        <f t="shared" si="2"/>
        <v>210</v>
      </c>
    </row>
    <row r="55" spans="1:11" x14ac:dyDescent="0.4">
      <c r="A55" s="2" t="s">
        <v>150</v>
      </c>
      <c r="B55" s="2" t="s">
        <v>5</v>
      </c>
      <c r="C55" s="4" t="s">
        <v>148</v>
      </c>
      <c r="D55" s="7">
        <f>IF(INT(C55)=0, C55 * 1440, (C55-INT(C55))*1440)</f>
        <v>599.99999999650754</v>
      </c>
      <c r="E55" s="2">
        <v>178</v>
      </c>
      <c r="F55" s="2">
        <f t="shared" si="0"/>
        <v>160</v>
      </c>
      <c r="G55" s="10">
        <f t="shared" si="1"/>
        <v>729.38333333702758</v>
      </c>
      <c r="H55" s="4" t="s">
        <v>151</v>
      </c>
      <c r="I55" s="3">
        <v>1157</v>
      </c>
      <c r="J55" s="2">
        <v>0.9</v>
      </c>
      <c r="K55" s="2">
        <f t="shared" si="2"/>
        <v>462</v>
      </c>
    </row>
    <row r="56" spans="1:11" x14ac:dyDescent="0.4">
      <c r="A56" s="2" t="s">
        <v>152</v>
      </c>
      <c r="B56" s="2" t="s">
        <v>31</v>
      </c>
      <c r="C56" s="4" t="s">
        <v>148</v>
      </c>
      <c r="D56" s="7">
        <f>IF(INT(C56)=0, C56 * 1440, (C56-INT(C56))*1440)</f>
        <v>599.99999999650754</v>
      </c>
      <c r="E56" s="2">
        <v>189</v>
      </c>
      <c r="F56" s="2">
        <f t="shared" si="0"/>
        <v>170</v>
      </c>
      <c r="G56" s="10">
        <f t="shared" si="1"/>
        <v>609.99999999767169</v>
      </c>
      <c r="H56" s="4" t="s">
        <v>153</v>
      </c>
      <c r="I56" s="3">
        <v>960</v>
      </c>
      <c r="J56" s="2">
        <v>0.9</v>
      </c>
      <c r="K56" s="2">
        <f t="shared" si="2"/>
        <v>384</v>
      </c>
    </row>
    <row r="57" spans="1:11" x14ac:dyDescent="0.4">
      <c r="A57" s="2" t="s">
        <v>154</v>
      </c>
      <c r="B57" s="2" t="s">
        <v>155</v>
      </c>
      <c r="C57" s="4" t="s">
        <v>148</v>
      </c>
      <c r="D57" s="7">
        <f>IF(INT(C57)=0, C57 * 1440, (C57-INT(C57))*1440)</f>
        <v>599.99999999650754</v>
      </c>
      <c r="E57" s="2">
        <v>189</v>
      </c>
      <c r="F57" s="2">
        <f t="shared" si="0"/>
        <v>170</v>
      </c>
      <c r="G57" s="10">
        <f t="shared" si="1"/>
        <v>605.99999999511056</v>
      </c>
      <c r="H57" s="4" t="s">
        <v>156</v>
      </c>
      <c r="I57" s="3">
        <v>552</v>
      </c>
      <c r="J57" s="2">
        <v>0.9</v>
      </c>
      <c r="K57" s="2">
        <f t="shared" si="2"/>
        <v>220</v>
      </c>
    </row>
    <row r="58" spans="1:11" x14ac:dyDescent="0.4">
      <c r="A58" s="2" t="s">
        <v>157</v>
      </c>
      <c r="B58" s="2" t="s">
        <v>155</v>
      </c>
      <c r="C58" s="4" t="s">
        <v>148</v>
      </c>
      <c r="D58" s="7">
        <f>IF(INT(C58)=0, C58 * 1440, (C58-INT(C58))*1440)</f>
        <v>599.99999999650754</v>
      </c>
      <c r="E58" s="2">
        <v>189</v>
      </c>
      <c r="F58" s="2">
        <f t="shared" si="0"/>
        <v>170</v>
      </c>
      <c r="G58" s="10">
        <f t="shared" si="1"/>
        <v>884.00000000023283</v>
      </c>
      <c r="H58" s="4" t="s">
        <v>158</v>
      </c>
      <c r="I58" s="3">
        <v>1159</v>
      </c>
      <c r="J58" s="2">
        <v>0.9</v>
      </c>
      <c r="K58" s="2">
        <f t="shared" si="2"/>
        <v>463</v>
      </c>
    </row>
    <row r="59" spans="1:11" x14ac:dyDescent="0.4">
      <c r="A59" s="2" t="s">
        <v>159</v>
      </c>
      <c r="B59" s="2" t="s">
        <v>24</v>
      </c>
      <c r="C59" s="4" t="s">
        <v>160</v>
      </c>
      <c r="D59" s="7">
        <f>IF(INT(C59)=0, C59 * 1440, (C59-INT(C59))*1440)</f>
        <v>615.00000000349246</v>
      </c>
      <c r="E59" s="2">
        <v>160</v>
      </c>
      <c r="F59" s="2">
        <f t="shared" si="0"/>
        <v>144</v>
      </c>
      <c r="G59" s="10">
        <f t="shared" si="1"/>
        <v>690.99999999976717</v>
      </c>
      <c r="H59" s="4" t="s">
        <v>161</v>
      </c>
      <c r="I59" s="3">
        <v>712</v>
      </c>
      <c r="J59" s="2">
        <v>0.9</v>
      </c>
      <c r="K59" s="2">
        <f t="shared" si="2"/>
        <v>284</v>
      </c>
    </row>
    <row r="60" spans="1:11" x14ac:dyDescent="0.4">
      <c r="A60" s="2" t="s">
        <v>165</v>
      </c>
      <c r="B60" s="2" t="s">
        <v>37</v>
      </c>
      <c r="C60" s="4" t="s">
        <v>164</v>
      </c>
      <c r="D60" s="7">
        <f>IF(INT(C60)=0, C60 * 1440, (C60-INT(C60))*1440)</f>
        <v>625.00000000465661</v>
      </c>
      <c r="E60" s="2">
        <v>144</v>
      </c>
      <c r="F60" s="2">
        <f t="shared" si="0"/>
        <v>129</v>
      </c>
      <c r="G60" s="10">
        <f t="shared" si="1"/>
        <v>663.00000000279397</v>
      </c>
      <c r="H60" s="4" t="s">
        <v>166</v>
      </c>
      <c r="I60" s="3">
        <v>1408</v>
      </c>
      <c r="J60" s="2">
        <v>0.9</v>
      </c>
      <c r="K60" s="2">
        <f t="shared" si="2"/>
        <v>563</v>
      </c>
    </row>
    <row r="61" spans="1:11" x14ac:dyDescent="0.4">
      <c r="A61" s="2" t="s">
        <v>48</v>
      </c>
      <c r="B61" s="2" t="s">
        <v>49</v>
      </c>
      <c r="C61" s="4" t="s">
        <v>164</v>
      </c>
      <c r="D61" s="7">
        <f>IF(INT(C61)=0, C61 * 1440, (C61-INT(C61))*1440)</f>
        <v>625.00000000465661</v>
      </c>
      <c r="E61" s="2">
        <v>144</v>
      </c>
      <c r="F61" s="2">
        <f t="shared" si="0"/>
        <v>129</v>
      </c>
      <c r="G61" s="10">
        <f t="shared" si="1"/>
        <v>654.99999999767169</v>
      </c>
      <c r="H61" s="4" t="s">
        <v>167</v>
      </c>
      <c r="I61" s="3">
        <v>361</v>
      </c>
      <c r="J61" s="2">
        <v>0.9</v>
      </c>
      <c r="K61" s="2">
        <f t="shared" si="2"/>
        <v>144</v>
      </c>
    </row>
    <row r="62" spans="1:11" x14ac:dyDescent="0.4">
      <c r="A62" s="2" t="s">
        <v>169</v>
      </c>
      <c r="B62" s="2" t="s">
        <v>9</v>
      </c>
      <c r="C62" s="4" t="s">
        <v>168</v>
      </c>
      <c r="D62" s="7">
        <f>IF(INT(C62)=0, C62 * 1440, (C62-INT(C62))*1440)</f>
        <v>630</v>
      </c>
      <c r="E62" s="2">
        <v>283</v>
      </c>
      <c r="F62" s="2">
        <f t="shared" si="0"/>
        <v>254</v>
      </c>
      <c r="G62" s="10">
        <f t="shared" si="1"/>
        <v>631.00000000325963</v>
      </c>
      <c r="H62" s="4" t="s">
        <v>105</v>
      </c>
      <c r="I62" s="3">
        <v>830</v>
      </c>
      <c r="J62" s="2">
        <v>0.9</v>
      </c>
      <c r="K62" s="2">
        <f t="shared" si="2"/>
        <v>332</v>
      </c>
    </row>
    <row r="63" spans="1:11" x14ac:dyDescent="0.4">
      <c r="A63" s="2" t="s">
        <v>170</v>
      </c>
      <c r="B63" s="2" t="s">
        <v>49</v>
      </c>
      <c r="C63" s="4" t="s">
        <v>168</v>
      </c>
      <c r="D63" s="7">
        <f>IF(INT(C63)=0, C63 * 1440, (C63-INT(C63))*1440)</f>
        <v>630</v>
      </c>
      <c r="E63" s="2">
        <v>144</v>
      </c>
      <c r="F63" s="2">
        <f t="shared" si="0"/>
        <v>129</v>
      </c>
      <c r="G63" s="10">
        <f t="shared" si="1"/>
        <v>635.99999999860302</v>
      </c>
      <c r="H63" s="4" t="s">
        <v>171</v>
      </c>
      <c r="I63" s="3">
        <v>961</v>
      </c>
      <c r="J63" s="2">
        <v>0.9</v>
      </c>
      <c r="K63" s="2">
        <f t="shared" si="2"/>
        <v>384</v>
      </c>
    </row>
    <row r="64" spans="1:11" x14ac:dyDescent="0.4">
      <c r="A64" s="2" t="s">
        <v>172</v>
      </c>
      <c r="B64" s="2" t="s">
        <v>24</v>
      </c>
      <c r="C64" s="4" t="s">
        <v>168</v>
      </c>
      <c r="D64" s="7">
        <f>IF(INT(C64)=0, C64 * 1440, (C64-INT(C64))*1440)</f>
        <v>630</v>
      </c>
      <c r="E64" s="2">
        <v>160</v>
      </c>
      <c r="F64" s="2">
        <f t="shared" si="0"/>
        <v>144</v>
      </c>
      <c r="G64" s="10">
        <f t="shared" si="1"/>
        <v>965.00000000232831</v>
      </c>
      <c r="H64" s="4" t="s">
        <v>173</v>
      </c>
      <c r="I64" s="3">
        <v>699</v>
      </c>
      <c r="J64" s="2">
        <v>0.9</v>
      </c>
      <c r="K64" s="2">
        <f t="shared" si="2"/>
        <v>279</v>
      </c>
    </row>
    <row r="65" spans="1:11" x14ac:dyDescent="0.4">
      <c r="A65" s="2" t="s">
        <v>176</v>
      </c>
      <c r="B65" s="2" t="s">
        <v>24</v>
      </c>
      <c r="C65" s="4" t="s">
        <v>174</v>
      </c>
      <c r="D65" s="7">
        <f>IF(INT(C65)=0, C65 * 1440, (C65-INT(C65))*1440)</f>
        <v>634.99999999534339</v>
      </c>
      <c r="E65" s="2">
        <v>160</v>
      </c>
      <c r="F65" s="2">
        <f t="shared" si="0"/>
        <v>144</v>
      </c>
      <c r="G65" s="10">
        <f t="shared" si="1"/>
        <v>650.99999999511056</v>
      </c>
      <c r="H65" s="4" t="s">
        <v>93</v>
      </c>
      <c r="I65" s="3">
        <v>1611</v>
      </c>
      <c r="J65" s="2">
        <v>0.9</v>
      </c>
      <c r="K65" s="2">
        <f t="shared" si="2"/>
        <v>644</v>
      </c>
    </row>
    <row r="66" spans="1:11" x14ac:dyDescent="0.4">
      <c r="A66" s="2" t="s">
        <v>178</v>
      </c>
      <c r="B66" s="2" t="s">
        <v>5</v>
      </c>
      <c r="C66" s="4" t="s">
        <v>163</v>
      </c>
      <c r="D66" s="7">
        <f>IF(INT(C66)=0, C66 * 1440, (C66-INT(C66))*1440)</f>
        <v>644.99999999650754</v>
      </c>
      <c r="E66" s="2">
        <v>178</v>
      </c>
      <c r="F66" s="2">
        <f t="shared" si="0"/>
        <v>160</v>
      </c>
      <c r="G66" s="10">
        <f t="shared" si="1"/>
        <v>650.00000000232831</v>
      </c>
      <c r="H66" s="4" t="s">
        <v>179</v>
      </c>
      <c r="I66" s="3">
        <v>609</v>
      </c>
      <c r="J66" s="2">
        <v>0.9</v>
      </c>
      <c r="K66" s="2">
        <f t="shared" si="2"/>
        <v>243</v>
      </c>
    </row>
    <row r="67" spans="1:11" x14ac:dyDescent="0.4">
      <c r="A67" s="2" t="s">
        <v>183</v>
      </c>
      <c r="B67" s="2" t="s">
        <v>184</v>
      </c>
      <c r="C67" s="4" t="s">
        <v>179</v>
      </c>
      <c r="D67" s="7">
        <f>IF(INT(C67)=0, C67 * 1440, (C67-INT(C67))*1440)</f>
        <v>650.00000000232831</v>
      </c>
      <c r="E67" s="2">
        <v>166</v>
      </c>
      <c r="F67" s="2">
        <f t="shared" ref="F67:F130" si="3">INT(E67*J67)</f>
        <v>149</v>
      </c>
      <c r="G67" s="10">
        <f t="shared" ref="G67:G130" si="4">IF(INT(H67)=0, H67 * 1440, (H67-INT(H67))*1440)</f>
        <v>960.99999999976717</v>
      </c>
      <c r="H67" s="4" t="s">
        <v>185</v>
      </c>
      <c r="I67" s="3">
        <v>1249</v>
      </c>
      <c r="J67" s="2">
        <v>0.9</v>
      </c>
      <c r="K67" s="2">
        <f t="shared" ref="K67:K130" si="5">INT(I67*0.4)</f>
        <v>499</v>
      </c>
    </row>
    <row r="68" spans="1:11" x14ac:dyDescent="0.4">
      <c r="A68" s="2" t="s">
        <v>187</v>
      </c>
      <c r="B68" s="2" t="s">
        <v>9</v>
      </c>
      <c r="C68" s="4" t="s">
        <v>167</v>
      </c>
      <c r="D68" s="7">
        <f>IF(INT(C68)=0, C68 * 1440, (C68-INT(C68))*1440)</f>
        <v>654.99999999767169</v>
      </c>
      <c r="E68" s="2">
        <v>283</v>
      </c>
      <c r="F68" s="2">
        <f t="shared" si="3"/>
        <v>254</v>
      </c>
      <c r="G68" s="10">
        <f t="shared" si="4"/>
        <v>663.99999999557622</v>
      </c>
      <c r="H68" s="4" t="s">
        <v>188</v>
      </c>
      <c r="I68" s="3">
        <v>694</v>
      </c>
      <c r="J68" s="2">
        <v>0.9</v>
      </c>
      <c r="K68" s="2">
        <f t="shared" si="5"/>
        <v>277</v>
      </c>
    </row>
    <row r="69" spans="1:11" x14ac:dyDescent="0.4">
      <c r="A69" s="2" t="s">
        <v>189</v>
      </c>
      <c r="B69" s="2" t="s">
        <v>24</v>
      </c>
      <c r="C69" s="4" t="s">
        <v>167</v>
      </c>
      <c r="D69" s="7">
        <f>IF(INT(C69)=0, C69 * 1440, (C69-INT(C69))*1440)</f>
        <v>654.99999999767169</v>
      </c>
      <c r="E69" s="2">
        <v>160</v>
      </c>
      <c r="F69" s="2">
        <f t="shared" si="3"/>
        <v>144</v>
      </c>
      <c r="G69" s="10">
        <f t="shared" si="4"/>
        <v>718.99999999674037</v>
      </c>
      <c r="H69" s="4" t="s">
        <v>190</v>
      </c>
      <c r="I69" s="3">
        <v>516</v>
      </c>
      <c r="J69" s="2">
        <v>0.9</v>
      </c>
      <c r="K69" s="2">
        <f t="shared" si="5"/>
        <v>206</v>
      </c>
    </row>
    <row r="70" spans="1:11" x14ac:dyDescent="0.4">
      <c r="A70" s="2" t="s">
        <v>192</v>
      </c>
      <c r="B70" s="2" t="s">
        <v>72</v>
      </c>
      <c r="C70" s="4" t="s">
        <v>162</v>
      </c>
      <c r="D70" s="7">
        <f>IF(INT(C70)=0, C70 * 1440, (C70-INT(C70))*1440)</f>
        <v>660.00000000349246</v>
      </c>
      <c r="E70" s="2">
        <v>361</v>
      </c>
      <c r="F70" s="2">
        <f t="shared" si="3"/>
        <v>324</v>
      </c>
      <c r="G70" s="10">
        <f t="shared" si="4"/>
        <v>701.00000000093132</v>
      </c>
      <c r="H70" s="4" t="s">
        <v>193</v>
      </c>
      <c r="I70" s="3">
        <v>1024</v>
      </c>
      <c r="J70" s="2">
        <v>0.9</v>
      </c>
      <c r="K70" s="2">
        <f t="shared" si="5"/>
        <v>409</v>
      </c>
    </row>
    <row r="71" spans="1:11" x14ac:dyDescent="0.4">
      <c r="A71" s="2" t="s">
        <v>194</v>
      </c>
      <c r="B71" s="2" t="s">
        <v>72</v>
      </c>
      <c r="C71" s="4" t="s">
        <v>162</v>
      </c>
      <c r="D71" s="7">
        <f>IF(INT(C71)=0, C71 * 1440, (C71-INT(C71))*1440)</f>
        <v>660.00000000349246</v>
      </c>
      <c r="E71" s="2">
        <v>361</v>
      </c>
      <c r="F71" s="2">
        <f t="shared" si="3"/>
        <v>324</v>
      </c>
      <c r="G71" s="10">
        <f t="shared" si="4"/>
        <v>979.99999999883585</v>
      </c>
      <c r="H71" s="4" t="s">
        <v>195</v>
      </c>
      <c r="I71" s="3">
        <v>741</v>
      </c>
      <c r="J71" s="2">
        <v>0.9</v>
      </c>
      <c r="K71" s="2">
        <f t="shared" si="5"/>
        <v>296</v>
      </c>
    </row>
    <row r="72" spans="1:11" x14ac:dyDescent="0.4">
      <c r="A72" s="2" t="s">
        <v>198</v>
      </c>
      <c r="B72" s="2" t="s">
        <v>109</v>
      </c>
      <c r="C72" s="4" t="s">
        <v>182</v>
      </c>
      <c r="D72" s="7">
        <f>IF(INT(C72)=0, C72 * 1440, (C72-INT(C72))*1440)</f>
        <v>670.00000000465661</v>
      </c>
      <c r="E72" s="2">
        <v>138</v>
      </c>
      <c r="F72" s="2">
        <f t="shared" si="3"/>
        <v>124</v>
      </c>
      <c r="G72" s="10">
        <f t="shared" si="4"/>
        <v>740.99999999511056</v>
      </c>
      <c r="H72" s="4" t="s">
        <v>199</v>
      </c>
      <c r="I72" s="3">
        <v>649</v>
      </c>
      <c r="J72" s="2">
        <v>0.9</v>
      </c>
      <c r="K72" s="2">
        <f t="shared" si="5"/>
        <v>259</v>
      </c>
    </row>
    <row r="73" spans="1:11" x14ac:dyDescent="0.4">
      <c r="A73" s="2" t="s">
        <v>200</v>
      </c>
      <c r="B73" s="2" t="s">
        <v>5</v>
      </c>
      <c r="C73" s="4" t="s">
        <v>201</v>
      </c>
      <c r="D73" s="7">
        <f>IF(INT(C73)=0, C73 * 1440, (C73-INT(C73))*1440)</f>
        <v>675</v>
      </c>
      <c r="E73" s="2">
        <v>178</v>
      </c>
      <c r="F73" s="2">
        <f t="shared" si="3"/>
        <v>160</v>
      </c>
      <c r="G73" s="10">
        <f t="shared" si="4"/>
        <v>1037.9999999993015</v>
      </c>
      <c r="H73" s="4" t="s">
        <v>202</v>
      </c>
      <c r="I73" s="3">
        <v>920</v>
      </c>
      <c r="J73" s="2">
        <v>0.9</v>
      </c>
      <c r="K73" s="2">
        <f t="shared" si="5"/>
        <v>368</v>
      </c>
    </row>
    <row r="74" spans="1:11" x14ac:dyDescent="0.4">
      <c r="A74" s="2" t="s">
        <v>203</v>
      </c>
      <c r="B74" s="2" t="s">
        <v>31</v>
      </c>
      <c r="C74" s="4" t="s">
        <v>204</v>
      </c>
      <c r="D74" s="7">
        <f>IF(INT(C74)=0, C74 * 1440, (C74-INT(C74))*1440)</f>
        <v>679.99999999534339</v>
      </c>
      <c r="E74" s="2">
        <v>189</v>
      </c>
      <c r="F74" s="2">
        <f t="shared" si="3"/>
        <v>170</v>
      </c>
      <c r="G74" s="10">
        <f t="shared" si="4"/>
        <v>905.99999999860302</v>
      </c>
      <c r="H74" s="4" t="s">
        <v>205</v>
      </c>
      <c r="I74" s="3">
        <v>1692</v>
      </c>
      <c r="J74" s="2">
        <v>0.9</v>
      </c>
      <c r="K74" s="2">
        <f t="shared" si="5"/>
        <v>676</v>
      </c>
    </row>
    <row r="75" spans="1:11" x14ac:dyDescent="0.4">
      <c r="A75" s="2" t="s">
        <v>206</v>
      </c>
      <c r="B75" s="2" t="s">
        <v>31</v>
      </c>
      <c r="C75" s="4" t="s">
        <v>204</v>
      </c>
      <c r="D75" s="7">
        <f>IF(INT(C75)=0, C75 * 1440, (C75-INT(C75))*1440)</f>
        <v>679.99999999534339</v>
      </c>
      <c r="E75" s="2">
        <v>189</v>
      </c>
      <c r="F75" s="2">
        <f t="shared" si="3"/>
        <v>170</v>
      </c>
      <c r="G75" s="10">
        <f t="shared" si="4"/>
        <v>682.00000000186265</v>
      </c>
      <c r="H75" s="4" t="s">
        <v>207</v>
      </c>
      <c r="I75" s="3">
        <v>633</v>
      </c>
      <c r="J75" s="2">
        <v>0.9</v>
      </c>
      <c r="K75" s="2">
        <f t="shared" si="5"/>
        <v>253</v>
      </c>
    </row>
    <row r="76" spans="1:11" x14ac:dyDescent="0.4">
      <c r="A76" s="2" t="s">
        <v>208</v>
      </c>
      <c r="B76" s="2" t="s">
        <v>42</v>
      </c>
      <c r="C76" s="4" t="s">
        <v>204</v>
      </c>
      <c r="D76" s="7">
        <f>IF(INT(C76)=0, C76 * 1440, (C76-INT(C76))*1440)</f>
        <v>679.99999999534339</v>
      </c>
      <c r="E76" s="2">
        <v>172</v>
      </c>
      <c r="F76" s="2">
        <f t="shared" si="3"/>
        <v>154</v>
      </c>
      <c r="G76" s="10">
        <f t="shared" si="4"/>
        <v>708.00000000279397</v>
      </c>
      <c r="H76" s="4" t="s">
        <v>209</v>
      </c>
      <c r="I76" s="3">
        <v>959</v>
      </c>
      <c r="J76" s="2">
        <v>0.9</v>
      </c>
      <c r="K76" s="2">
        <f t="shared" si="5"/>
        <v>383</v>
      </c>
    </row>
    <row r="77" spans="1:11" x14ac:dyDescent="0.4">
      <c r="A77" s="2" t="s">
        <v>210</v>
      </c>
      <c r="B77" s="2" t="s">
        <v>42</v>
      </c>
      <c r="C77" s="4" t="s">
        <v>204</v>
      </c>
      <c r="D77" s="7">
        <f>IF(INT(C77)=0, C77 * 1440, (C77-INT(C77))*1440)</f>
        <v>679.99999999534339</v>
      </c>
      <c r="E77" s="2">
        <v>172</v>
      </c>
      <c r="F77" s="2">
        <f t="shared" si="3"/>
        <v>154</v>
      </c>
      <c r="G77" s="10">
        <f t="shared" si="4"/>
        <v>821.99999999720603</v>
      </c>
      <c r="H77" s="4" t="s">
        <v>211</v>
      </c>
      <c r="I77" s="3">
        <v>736</v>
      </c>
      <c r="J77" s="2">
        <v>0.9</v>
      </c>
      <c r="K77" s="2">
        <f t="shared" si="5"/>
        <v>294</v>
      </c>
    </row>
    <row r="78" spans="1:11" x14ac:dyDescent="0.4">
      <c r="A78" s="2" t="s">
        <v>215</v>
      </c>
      <c r="B78" s="2" t="s">
        <v>24</v>
      </c>
      <c r="C78" s="4" t="s">
        <v>213</v>
      </c>
      <c r="D78" s="7">
        <f>IF(INT(C78)=0, C78 * 1440, (C78-INT(C78))*1440)</f>
        <v>685.00000000116415</v>
      </c>
      <c r="E78" s="2">
        <v>160</v>
      </c>
      <c r="F78" s="2">
        <f t="shared" si="3"/>
        <v>144</v>
      </c>
      <c r="G78" s="10">
        <f t="shared" si="4"/>
        <v>1039.9999999953434</v>
      </c>
      <c r="H78" s="4" t="s">
        <v>216</v>
      </c>
      <c r="I78" s="3">
        <v>820</v>
      </c>
      <c r="J78" s="2">
        <v>0.9</v>
      </c>
      <c r="K78" s="2">
        <f t="shared" si="5"/>
        <v>328</v>
      </c>
    </row>
    <row r="79" spans="1:11" x14ac:dyDescent="0.4">
      <c r="A79" s="2" t="s">
        <v>218</v>
      </c>
      <c r="B79" s="2" t="s">
        <v>31</v>
      </c>
      <c r="C79" s="4" t="s">
        <v>217</v>
      </c>
      <c r="D79" s="7">
        <f>IF(INT(C79)=0, C79 * 1440, (C79-INT(C79))*1440)</f>
        <v>689.99999999650754</v>
      </c>
      <c r="E79" s="2">
        <v>189</v>
      </c>
      <c r="F79" s="2">
        <f t="shared" si="3"/>
        <v>170</v>
      </c>
      <c r="G79" s="10">
        <f t="shared" si="4"/>
        <v>693.99999999906868</v>
      </c>
      <c r="H79" s="4" t="s">
        <v>191</v>
      </c>
      <c r="I79" s="3">
        <v>1107</v>
      </c>
      <c r="J79" s="2">
        <v>0.9</v>
      </c>
      <c r="K79" s="2">
        <f t="shared" si="5"/>
        <v>442</v>
      </c>
    </row>
    <row r="80" spans="1:11" x14ac:dyDescent="0.4">
      <c r="A80" s="2" t="s">
        <v>220</v>
      </c>
      <c r="B80" s="2" t="s">
        <v>42</v>
      </c>
      <c r="C80" s="4" t="s">
        <v>217</v>
      </c>
      <c r="D80" s="7">
        <f>IF(INT(C80)=0, C80 * 1440, (C80-INT(C80))*1440)</f>
        <v>689.99999999650754</v>
      </c>
      <c r="E80" s="2">
        <v>172</v>
      </c>
      <c r="F80" s="2">
        <f t="shared" si="3"/>
        <v>154</v>
      </c>
      <c r="G80" s="10">
        <f t="shared" si="4"/>
        <v>756.99999999487773</v>
      </c>
      <c r="H80" s="4" t="s">
        <v>221</v>
      </c>
      <c r="I80" s="3">
        <v>742</v>
      </c>
      <c r="J80" s="2">
        <v>0.9</v>
      </c>
      <c r="K80" s="2">
        <f t="shared" si="5"/>
        <v>296</v>
      </c>
    </row>
    <row r="81" spans="1:11" x14ac:dyDescent="0.4">
      <c r="A81" s="2" t="s">
        <v>222</v>
      </c>
      <c r="B81" s="2" t="s">
        <v>24</v>
      </c>
      <c r="C81" s="4" t="s">
        <v>217</v>
      </c>
      <c r="D81" s="7">
        <f>IF(INT(C81)=0, C81 * 1440, (C81-INT(C81))*1440)</f>
        <v>689.99999999650754</v>
      </c>
      <c r="E81" s="2">
        <v>160</v>
      </c>
      <c r="F81" s="2">
        <f t="shared" si="3"/>
        <v>144</v>
      </c>
      <c r="G81" s="10">
        <f t="shared" si="4"/>
        <v>718.99999999674037</v>
      </c>
      <c r="H81" s="4" t="s">
        <v>190</v>
      </c>
      <c r="I81" s="3">
        <v>787</v>
      </c>
      <c r="J81" s="2">
        <v>0.9</v>
      </c>
      <c r="K81" s="2">
        <f t="shared" si="5"/>
        <v>314</v>
      </c>
    </row>
    <row r="82" spans="1:11" x14ac:dyDescent="0.4">
      <c r="A82" s="2" t="s">
        <v>223</v>
      </c>
      <c r="B82" s="2" t="s">
        <v>24</v>
      </c>
      <c r="C82" s="4" t="s">
        <v>217</v>
      </c>
      <c r="D82" s="7">
        <f>IF(INT(C82)=0, C82 * 1440, (C82-INT(C82))*1440)</f>
        <v>689.99999999650754</v>
      </c>
      <c r="E82" s="2">
        <v>160</v>
      </c>
      <c r="F82" s="2">
        <f t="shared" si="3"/>
        <v>144</v>
      </c>
      <c r="G82" s="10">
        <f t="shared" si="4"/>
        <v>1052.0000000030268</v>
      </c>
      <c r="H82" s="4" t="s">
        <v>224</v>
      </c>
      <c r="I82" s="3">
        <v>810</v>
      </c>
      <c r="J82" s="2">
        <v>0.9</v>
      </c>
      <c r="K82" s="2">
        <f t="shared" si="5"/>
        <v>324</v>
      </c>
    </row>
    <row r="83" spans="1:11" x14ac:dyDescent="0.4">
      <c r="A83" s="2" t="s">
        <v>226</v>
      </c>
      <c r="B83" s="2" t="s">
        <v>72</v>
      </c>
      <c r="C83" s="4" t="s">
        <v>197</v>
      </c>
      <c r="D83" s="7">
        <f>IF(INT(C83)=0, C83 * 1440, (C83-INT(C83))*1440)</f>
        <v>695.00000000232831</v>
      </c>
      <c r="E83" s="2">
        <v>361</v>
      </c>
      <c r="F83" s="2">
        <f t="shared" si="3"/>
        <v>324</v>
      </c>
      <c r="G83" s="10">
        <f t="shared" si="4"/>
        <v>879.99999999767169</v>
      </c>
      <c r="H83" s="4" t="s">
        <v>227</v>
      </c>
      <c r="I83" s="3">
        <v>760</v>
      </c>
      <c r="J83" s="2">
        <v>0.9</v>
      </c>
      <c r="K83" s="2">
        <f t="shared" si="5"/>
        <v>304</v>
      </c>
    </row>
    <row r="84" spans="1:11" x14ac:dyDescent="0.4">
      <c r="A84" s="2" t="s">
        <v>229</v>
      </c>
      <c r="B84" s="2" t="s">
        <v>37</v>
      </c>
      <c r="C84" s="4" t="s">
        <v>197</v>
      </c>
      <c r="D84" s="7">
        <f>IF(INT(C84)=0, C84 * 1440, (C84-INT(C84))*1440)</f>
        <v>695.00000000232831</v>
      </c>
      <c r="E84" s="2">
        <v>144</v>
      </c>
      <c r="F84" s="2">
        <f t="shared" si="3"/>
        <v>129</v>
      </c>
      <c r="G84" s="10">
        <f t="shared" si="4"/>
        <v>756.00000000209548</v>
      </c>
      <c r="H84" s="4" t="s">
        <v>230</v>
      </c>
      <c r="I84" s="3">
        <v>1102</v>
      </c>
      <c r="J84" s="2">
        <v>0.9</v>
      </c>
      <c r="K84" s="2">
        <f t="shared" si="5"/>
        <v>440</v>
      </c>
    </row>
    <row r="85" spans="1:11" x14ac:dyDescent="0.4">
      <c r="A85" s="2" t="s">
        <v>231</v>
      </c>
      <c r="B85" s="2" t="s">
        <v>232</v>
      </c>
      <c r="C85" s="4" t="s">
        <v>197</v>
      </c>
      <c r="D85" s="7">
        <f>IF(INT(C85)=0, C85 * 1440, (C85-INT(C85))*1440)</f>
        <v>695.00000000232831</v>
      </c>
      <c r="E85" s="2">
        <v>195</v>
      </c>
      <c r="F85" s="2">
        <f t="shared" si="3"/>
        <v>175</v>
      </c>
      <c r="G85" s="10">
        <f t="shared" si="4"/>
        <v>705.00000000349246</v>
      </c>
      <c r="H85" s="4" t="s">
        <v>233</v>
      </c>
      <c r="I85" s="3">
        <v>792</v>
      </c>
      <c r="J85" s="2">
        <v>0.9</v>
      </c>
      <c r="K85" s="2">
        <f t="shared" si="5"/>
        <v>316</v>
      </c>
    </row>
    <row r="86" spans="1:11" x14ac:dyDescent="0.4">
      <c r="A86" s="2" t="s">
        <v>235</v>
      </c>
      <c r="B86" s="2" t="s">
        <v>5</v>
      </c>
      <c r="C86" s="4" t="s">
        <v>233</v>
      </c>
      <c r="D86" s="7">
        <f>IF(INT(C86)=0, C86 * 1440, (C86-INT(C86))*1440)</f>
        <v>705.00000000349246</v>
      </c>
      <c r="E86" s="2">
        <v>178</v>
      </c>
      <c r="F86" s="2">
        <f t="shared" si="3"/>
        <v>160</v>
      </c>
      <c r="G86" s="10">
        <f t="shared" si="4"/>
        <v>724.00000000256114</v>
      </c>
      <c r="H86" s="4" t="s">
        <v>236</v>
      </c>
      <c r="I86" s="3">
        <v>738</v>
      </c>
      <c r="J86" s="2">
        <v>0.9</v>
      </c>
      <c r="K86" s="2">
        <f t="shared" si="5"/>
        <v>295</v>
      </c>
    </row>
    <row r="87" spans="1:11" x14ac:dyDescent="0.4">
      <c r="A87" s="2" t="s">
        <v>237</v>
      </c>
      <c r="B87" s="2" t="s">
        <v>5</v>
      </c>
      <c r="C87" s="4" t="s">
        <v>233</v>
      </c>
      <c r="D87" s="7">
        <f>IF(INT(C87)=0, C87 * 1440, (C87-INT(C87))*1440)</f>
        <v>705.00000000349246</v>
      </c>
      <c r="E87" s="2">
        <v>178</v>
      </c>
      <c r="F87" s="2">
        <f t="shared" si="3"/>
        <v>160</v>
      </c>
      <c r="G87" s="10">
        <f t="shared" si="4"/>
        <v>846.99999999487773</v>
      </c>
      <c r="H87" s="4" t="s">
        <v>238</v>
      </c>
      <c r="I87" s="3">
        <v>756</v>
      </c>
      <c r="J87" s="2">
        <v>0.9</v>
      </c>
      <c r="K87" s="2">
        <f t="shared" si="5"/>
        <v>302</v>
      </c>
    </row>
    <row r="88" spans="1:11" x14ac:dyDescent="0.4">
      <c r="A88" s="2" t="s">
        <v>240</v>
      </c>
      <c r="B88" s="2" t="s">
        <v>14</v>
      </c>
      <c r="C88" s="4" t="s">
        <v>239</v>
      </c>
      <c r="D88" s="7">
        <f>IF(INT(C88)=0, C88 * 1440, (C88-INT(C88))*1440)</f>
        <v>709.99999999883585</v>
      </c>
      <c r="E88" s="2">
        <v>314</v>
      </c>
      <c r="F88" s="2">
        <f t="shared" si="3"/>
        <v>282</v>
      </c>
      <c r="G88" s="10">
        <f t="shared" si="4"/>
        <v>1078.9999999967404</v>
      </c>
      <c r="H88" s="4" t="s">
        <v>241</v>
      </c>
      <c r="I88" s="3">
        <v>728</v>
      </c>
      <c r="J88" s="2">
        <v>0.9</v>
      </c>
      <c r="K88" s="2">
        <f t="shared" si="5"/>
        <v>291</v>
      </c>
    </row>
    <row r="89" spans="1:11" x14ac:dyDescent="0.4">
      <c r="A89" s="2" t="s">
        <v>242</v>
      </c>
      <c r="B89" s="2" t="s">
        <v>37</v>
      </c>
      <c r="C89" s="4" t="s">
        <v>239</v>
      </c>
      <c r="D89" s="7">
        <f>IF(INT(C89)=0, C89 * 1440, (C89-INT(C89))*1440)</f>
        <v>709.99999999883585</v>
      </c>
      <c r="E89" s="2">
        <v>144</v>
      </c>
      <c r="F89" s="2">
        <f t="shared" si="3"/>
        <v>129</v>
      </c>
      <c r="G89" s="10">
        <f t="shared" si="4"/>
        <v>743.00000000162981</v>
      </c>
      <c r="H89" s="4" t="s">
        <v>243</v>
      </c>
      <c r="I89" s="3">
        <v>1069</v>
      </c>
      <c r="J89" s="2">
        <v>0.9</v>
      </c>
      <c r="K89" s="2">
        <f t="shared" si="5"/>
        <v>427</v>
      </c>
    </row>
    <row r="90" spans="1:11" x14ac:dyDescent="0.4">
      <c r="A90" s="2" t="s">
        <v>244</v>
      </c>
      <c r="B90" s="2" t="s">
        <v>109</v>
      </c>
      <c r="C90" s="4" t="s">
        <v>239</v>
      </c>
      <c r="D90" s="7">
        <f>IF(INT(C90)=0, C90 * 1440, (C90-INT(C90))*1440)</f>
        <v>709.99999999883585</v>
      </c>
      <c r="E90" s="2">
        <v>138</v>
      </c>
      <c r="F90" s="2">
        <f t="shared" si="3"/>
        <v>124</v>
      </c>
      <c r="G90" s="10">
        <f t="shared" si="4"/>
        <v>831.99999999837019</v>
      </c>
      <c r="H90" s="4" t="s">
        <v>245</v>
      </c>
      <c r="I90" s="3">
        <v>754</v>
      </c>
      <c r="J90" s="2">
        <v>0.9</v>
      </c>
      <c r="K90" s="2">
        <f t="shared" si="5"/>
        <v>301</v>
      </c>
    </row>
    <row r="91" spans="1:11" x14ac:dyDescent="0.4">
      <c r="A91" s="2" t="s">
        <v>248</v>
      </c>
      <c r="B91" s="2" t="s">
        <v>24</v>
      </c>
      <c r="C91" s="4" t="s">
        <v>246</v>
      </c>
      <c r="D91" s="7">
        <f>IF(INT(C91)=0, C91 * 1440, (C91-INT(C91))*1440)</f>
        <v>715.00000000465661</v>
      </c>
      <c r="E91" s="2">
        <v>160</v>
      </c>
      <c r="F91" s="2">
        <f t="shared" si="3"/>
        <v>144</v>
      </c>
      <c r="G91" s="10">
        <f t="shared" si="4"/>
        <v>1026.0000000020955</v>
      </c>
      <c r="H91" s="4" t="s">
        <v>249</v>
      </c>
      <c r="I91" s="3">
        <v>869</v>
      </c>
      <c r="J91" s="2">
        <v>0.9</v>
      </c>
      <c r="K91" s="2">
        <f t="shared" si="5"/>
        <v>347</v>
      </c>
    </row>
    <row r="92" spans="1:11" x14ac:dyDescent="0.4">
      <c r="A92" s="2" t="s">
        <v>251</v>
      </c>
      <c r="B92" s="2" t="s">
        <v>11</v>
      </c>
      <c r="C92" s="4" t="s">
        <v>180</v>
      </c>
      <c r="D92" s="7">
        <f>IF(INT(C92)=0, C92 * 1440, (C92-INT(C92))*1440)</f>
        <v>720</v>
      </c>
      <c r="E92" s="2">
        <v>276</v>
      </c>
      <c r="F92" s="2">
        <f t="shared" si="3"/>
        <v>248</v>
      </c>
      <c r="G92" s="10">
        <f t="shared" si="4"/>
        <v>792.9999999969732</v>
      </c>
      <c r="H92" s="4" t="s">
        <v>252</v>
      </c>
      <c r="I92" s="3">
        <v>1024</v>
      </c>
      <c r="J92" s="2">
        <v>0.9</v>
      </c>
      <c r="K92" s="2">
        <f t="shared" si="5"/>
        <v>409</v>
      </c>
    </row>
    <row r="93" spans="1:11" x14ac:dyDescent="0.4">
      <c r="A93" s="2" t="s">
        <v>254</v>
      </c>
      <c r="B93" s="2" t="s">
        <v>37</v>
      </c>
      <c r="C93" s="4" t="s">
        <v>180</v>
      </c>
      <c r="D93" s="7">
        <f>IF(INT(C93)=0, C93 * 1440, (C93-INT(C93))*1440)</f>
        <v>720</v>
      </c>
      <c r="E93" s="2">
        <v>144</v>
      </c>
      <c r="F93" s="2">
        <f t="shared" si="3"/>
        <v>129</v>
      </c>
      <c r="G93" s="10">
        <f t="shared" si="4"/>
        <v>1007.0000000030268</v>
      </c>
      <c r="H93" s="4" t="s">
        <v>255</v>
      </c>
      <c r="I93" s="3">
        <v>799</v>
      </c>
      <c r="J93" s="2">
        <v>0.9</v>
      </c>
      <c r="K93" s="2">
        <f t="shared" si="5"/>
        <v>319</v>
      </c>
    </row>
    <row r="94" spans="1:11" x14ac:dyDescent="0.4">
      <c r="A94" s="2" t="s">
        <v>256</v>
      </c>
      <c r="B94" s="2" t="s">
        <v>24</v>
      </c>
      <c r="C94" s="4" t="s">
        <v>180</v>
      </c>
      <c r="D94" s="7">
        <f>IF(INT(C94)=0, C94 * 1440, (C94-INT(C94))*1440)</f>
        <v>720</v>
      </c>
      <c r="E94" s="2">
        <v>160</v>
      </c>
      <c r="F94" s="2">
        <f t="shared" si="3"/>
        <v>144</v>
      </c>
      <c r="G94" s="10">
        <f t="shared" si="4"/>
        <v>740.00000000232831</v>
      </c>
      <c r="H94" s="4" t="s">
        <v>257</v>
      </c>
      <c r="I94" s="3">
        <v>1325</v>
      </c>
      <c r="J94" s="2">
        <v>0.9</v>
      </c>
      <c r="K94" s="2">
        <f t="shared" si="5"/>
        <v>530</v>
      </c>
    </row>
    <row r="95" spans="1:11" x14ac:dyDescent="0.4">
      <c r="A95" s="2" t="s">
        <v>259</v>
      </c>
      <c r="B95" s="2" t="s">
        <v>42</v>
      </c>
      <c r="C95" s="4" t="s">
        <v>228</v>
      </c>
      <c r="D95" s="7">
        <f>IF(INT(C95)=0, C95 * 1440, (C95-INT(C95))*1440)</f>
        <v>724.99999999534339</v>
      </c>
      <c r="E95" s="2">
        <v>172</v>
      </c>
      <c r="F95" s="2">
        <f t="shared" si="3"/>
        <v>154</v>
      </c>
      <c r="G95" s="10">
        <f t="shared" si="4"/>
        <v>731.00000000442378</v>
      </c>
      <c r="H95" s="4" t="s">
        <v>177</v>
      </c>
      <c r="I95" s="3">
        <v>1052</v>
      </c>
      <c r="J95" s="2">
        <v>0.9</v>
      </c>
      <c r="K95" s="2">
        <f t="shared" si="5"/>
        <v>420</v>
      </c>
    </row>
    <row r="96" spans="1:11" x14ac:dyDescent="0.4">
      <c r="A96" s="2" t="s">
        <v>261</v>
      </c>
      <c r="B96" s="2" t="s">
        <v>68</v>
      </c>
      <c r="C96" s="4" t="s">
        <v>260</v>
      </c>
      <c r="D96" s="7">
        <f>IF(INT(C96)=0, C96 * 1440, (C96-INT(C96))*1440)</f>
        <v>730.00000000116415</v>
      </c>
      <c r="E96" s="2">
        <v>169</v>
      </c>
      <c r="F96" s="2">
        <f t="shared" si="3"/>
        <v>152</v>
      </c>
      <c r="G96" s="10">
        <f t="shared" si="4"/>
        <v>1016.0000000009313</v>
      </c>
      <c r="H96" s="4" t="s">
        <v>262</v>
      </c>
      <c r="I96" s="3">
        <v>982</v>
      </c>
      <c r="J96" s="2">
        <v>0.9</v>
      </c>
      <c r="K96" s="2">
        <f t="shared" si="5"/>
        <v>392</v>
      </c>
    </row>
    <row r="97" spans="1:11" x14ac:dyDescent="0.4">
      <c r="A97" s="2" t="s">
        <v>264</v>
      </c>
      <c r="B97" s="2" t="s">
        <v>5</v>
      </c>
      <c r="C97" s="4" t="s">
        <v>260</v>
      </c>
      <c r="D97" s="7">
        <f>IF(INT(C97)=0, C97 * 1440, (C97-INT(C97))*1440)</f>
        <v>730.00000000116415</v>
      </c>
      <c r="E97" s="2">
        <v>178</v>
      </c>
      <c r="F97" s="2">
        <f t="shared" si="3"/>
        <v>160</v>
      </c>
      <c r="G97" s="10">
        <f t="shared" si="4"/>
        <v>731.00000000442378</v>
      </c>
      <c r="H97" s="4" t="s">
        <v>177</v>
      </c>
      <c r="I97" s="3">
        <v>534</v>
      </c>
      <c r="J97" s="2">
        <v>0.9</v>
      </c>
      <c r="K97" s="2">
        <f t="shared" si="5"/>
        <v>213</v>
      </c>
    </row>
    <row r="98" spans="1:11" x14ac:dyDescent="0.4">
      <c r="A98" s="2" t="s">
        <v>266</v>
      </c>
      <c r="B98" s="2" t="s">
        <v>31</v>
      </c>
      <c r="C98" s="4" t="s">
        <v>265</v>
      </c>
      <c r="D98" s="7">
        <f>IF(INT(C98)=0, C98 * 1440, (C98-INT(C98))*1440)</f>
        <v>734.99999999650754</v>
      </c>
      <c r="E98" s="2">
        <v>189</v>
      </c>
      <c r="F98" s="2">
        <f t="shared" si="3"/>
        <v>170</v>
      </c>
      <c r="G98" s="10">
        <f t="shared" si="4"/>
        <v>836.00000000093132</v>
      </c>
      <c r="H98" s="4" t="s">
        <v>267</v>
      </c>
      <c r="I98" s="3">
        <v>706</v>
      </c>
      <c r="J98" s="2">
        <v>0.9</v>
      </c>
      <c r="K98" s="2">
        <f t="shared" si="5"/>
        <v>282</v>
      </c>
    </row>
    <row r="99" spans="1:11" x14ac:dyDescent="0.4">
      <c r="A99" s="2" t="s">
        <v>269</v>
      </c>
      <c r="B99" s="2" t="s">
        <v>24</v>
      </c>
      <c r="C99" s="4" t="s">
        <v>257</v>
      </c>
      <c r="D99" s="7">
        <f>IF(INT(C99)=0, C99 * 1440, (C99-INT(C99))*1440)</f>
        <v>740.00000000232831</v>
      </c>
      <c r="E99" s="2">
        <v>160</v>
      </c>
      <c r="F99" s="2">
        <f t="shared" si="3"/>
        <v>144</v>
      </c>
      <c r="G99" s="10">
        <f t="shared" si="4"/>
        <v>744.00000000488944</v>
      </c>
      <c r="H99" s="4" t="s">
        <v>225</v>
      </c>
      <c r="I99" s="3">
        <v>616</v>
      </c>
      <c r="J99" s="2">
        <v>0.9</v>
      </c>
      <c r="K99" s="2">
        <f t="shared" si="5"/>
        <v>246</v>
      </c>
    </row>
    <row r="100" spans="1:11" x14ac:dyDescent="0.4">
      <c r="A100" s="2" t="s">
        <v>270</v>
      </c>
      <c r="B100" s="2" t="s">
        <v>37</v>
      </c>
      <c r="C100" s="4" t="s">
        <v>268</v>
      </c>
      <c r="D100" s="7">
        <f>IF(INT(C100)=0, C100 * 1440, (C100-INT(C100))*1440)</f>
        <v>744.99999999767169</v>
      </c>
      <c r="E100" s="2">
        <v>144</v>
      </c>
      <c r="F100" s="2">
        <f t="shared" si="3"/>
        <v>129</v>
      </c>
      <c r="G100" s="10">
        <f t="shared" si="4"/>
        <v>1068.000000002794</v>
      </c>
      <c r="H100" s="4" t="s">
        <v>271</v>
      </c>
      <c r="I100" s="3">
        <v>803</v>
      </c>
      <c r="J100" s="2">
        <v>0.9</v>
      </c>
      <c r="K100" s="2">
        <f t="shared" si="5"/>
        <v>321</v>
      </c>
    </row>
    <row r="101" spans="1:11" x14ac:dyDescent="0.4">
      <c r="A101" s="2" t="s">
        <v>272</v>
      </c>
      <c r="B101" s="2" t="s">
        <v>31</v>
      </c>
      <c r="C101" s="4" t="s">
        <v>214</v>
      </c>
      <c r="D101" s="7">
        <f>IF(INT(C101)=0, C101 * 1440, (C101-INT(C101))*1440)</f>
        <v>750.00000000349246</v>
      </c>
      <c r="E101" s="2">
        <v>189</v>
      </c>
      <c r="F101" s="2">
        <f t="shared" si="3"/>
        <v>170</v>
      </c>
      <c r="G101" s="10">
        <f t="shared" si="4"/>
        <v>798.99999999557622</v>
      </c>
      <c r="H101" s="4" t="s">
        <v>250</v>
      </c>
      <c r="I101" s="3">
        <v>732</v>
      </c>
      <c r="J101" s="2">
        <v>0.9</v>
      </c>
      <c r="K101" s="2">
        <f t="shared" si="5"/>
        <v>292</v>
      </c>
    </row>
    <row r="102" spans="1:11" x14ac:dyDescent="0.4">
      <c r="A102" s="2" t="s">
        <v>273</v>
      </c>
      <c r="B102" s="2" t="s">
        <v>274</v>
      </c>
      <c r="C102" s="4" t="s">
        <v>214</v>
      </c>
      <c r="D102" s="7">
        <f>IF(INT(C102)=0, C102 * 1440, (C102-INT(C102))*1440)</f>
        <v>750.00000000349246</v>
      </c>
      <c r="E102" s="2">
        <v>335</v>
      </c>
      <c r="F102" s="2">
        <f t="shared" si="3"/>
        <v>301</v>
      </c>
      <c r="G102" s="10">
        <f t="shared" si="4"/>
        <v>865.00000000116415</v>
      </c>
      <c r="H102" s="4" t="s">
        <v>219</v>
      </c>
      <c r="I102" s="3">
        <v>1486</v>
      </c>
      <c r="J102" s="2">
        <v>0.9</v>
      </c>
      <c r="K102" s="2">
        <f t="shared" si="5"/>
        <v>594</v>
      </c>
    </row>
    <row r="103" spans="1:11" x14ac:dyDescent="0.4">
      <c r="A103" s="2" t="s">
        <v>276</v>
      </c>
      <c r="B103" s="2" t="s">
        <v>24</v>
      </c>
      <c r="C103" s="4" t="s">
        <v>214</v>
      </c>
      <c r="D103" s="7">
        <f>IF(INT(C103)=0, C103 * 1440, (C103-INT(C103))*1440)</f>
        <v>750.00000000349246</v>
      </c>
      <c r="E103" s="2">
        <v>160</v>
      </c>
      <c r="F103" s="2">
        <f t="shared" si="3"/>
        <v>144</v>
      </c>
      <c r="G103" s="10">
        <f t="shared" si="4"/>
        <v>972.00000000419095</v>
      </c>
      <c r="H103" s="4" t="s">
        <v>277</v>
      </c>
      <c r="I103" s="3">
        <v>1206</v>
      </c>
      <c r="J103" s="2">
        <v>0.9</v>
      </c>
      <c r="K103" s="2">
        <f t="shared" si="5"/>
        <v>482</v>
      </c>
    </row>
    <row r="104" spans="1:11" x14ac:dyDescent="0.4">
      <c r="A104" s="2" t="s">
        <v>280</v>
      </c>
      <c r="B104" s="2" t="s">
        <v>5</v>
      </c>
      <c r="C104" s="4" t="s">
        <v>281</v>
      </c>
      <c r="D104" s="7">
        <f>IF(INT(C104)=0, C104 * 1440, (C104-INT(C104))*1440)</f>
        <v>754.99999999883585</v>
      </c>
      <c r="E104" s="2">
        <v>178</v>
      </c>
      <c r="F104" s="2">
        <f t="shared" si="3"/>
        <v>160</v>
      </c>
      <c r="G104" s="10">
        <f t="shared" si="4"/>
        <v>834.00000000488944</v>
      </c>
      <c r="H104" s="4" t="s">
        <v>111</v>
      </c>
      <c r="I104" s="3">
        <v>742</v>
      </c>
      <c r="J104" s="2">
        <v>0.9</v>
      </c>
      <c r="K104" s="2">
        <f t="shared" si="5"/>
        <v>296</v>
      </c>
    </row>
    <row r="105" spans="1:11" x14ac:dyDescent="0.4">
      <c r="A105" s="2" t="s">
        <v>282</v>
      </c>
      <c r="B105" s="2" t="s">
        <v>31</v>
      </c>
      <c r="C105" s="4" t="s">
        <v>281</v>
      </c>
      <c r="D105" s="7">
        <f>IF(INT(C105)=0, C105 * 1440, (C105-INT(C105))*1440)</f>
        <v>754.99999999883585</v>
      </c>
      <c r="E105" s="2">
        <v>189</v>
      </c>
      <c r="F105" s="2">
        <f t="shared" si="3"/>
        <v>170</v>
      </c>
      <c r="G105" s="10">
        <f t="shared" si="4"/>
        <v>756.00000000209548</v>
      </c>
      <c r="H105" s="4" t="s">
        <v>230</v>
      </c>
      <c r="I105" s="3">
        <v>562</v>
      </c>
      <c r="J105" s="2">
        <v>0.9</v>
      </c>
      <c r="K105" s="2">
        <f t="shared" si="5"/>
        <v>224</v>
      </c>
    </row>
    <row r="106" spans="1:11" x14ac:dyDescent="0.4">
      <c r="A106" s="2" t="s">
        <v>283</v>
      </c>
      <c r="B106" s="2" t="s">
        <v>24</v>
      </c>
      <c r="C106" s="4" t="s">
        <v>281</v>
      </c>
      <c r="D106" s="7">
        <f>IF(INT(C106)=0, C106 * 1440, (C106-INT(C106))*1440)</f>
        <v>754.99999999883585</v>
      </c>
      <c r="E106" s="2">
        <v>160</v>
      </c>
      <c r="F106" s="2">
        <f t="shared" si="3"/>
        <v>144</v>
      </c>
      <c r="G106" s="10">
        <f t="shared" si="4"/>
        <v>962.99999999580905</v>
      </c>
      <c r="H106" s="4" t="s">
        <v>284</v>
      </c>
      <c r="I106" s="3">
        <v>1036</v>
      </c>
      <c r="J106" s="2">
        <v>0.9</v>
      </c>
      <c r="K106" s="2">
        <f t="shared" si="5"/>
        <v>414</v>
      </c>
    </row>
    <row r="107" spans="1:11" x14ac:dyDescent="0.4">
      <c r="A107" s="2" t="s">
        <v>285</v>
      </c>
      <c r="B107" s="2" t="s">
        <v>24</v>
      </c>
      <c r="C107" s="4" t="s">
        <v>281</v>
      </c>
      <c r="D107" s="7">
        <f>IF(INT(C107)=0, C107 * 1440, (C107-INT(C107))*1440)</f>
        <v>754.99999999883585</v>
      </c>
      <c r="E107" s="2">
        <v>160</v>
      </c>
      <c r="F107" s="2">
        <f t="shared" si="3"/>
        <v>144</v>
      </c>
      <c r="G107" s="10">
        <f t="shared" si="4"/>
        <v>1125</v>
      </c>
      <c r="H107" s="4" t="s">
        <v>286</v>
      </c>
      <c r="I107" s="3">
        <v>755</v>
      </c>
      <c r="J107" s="2">
        <v>0.9</v>
      </c>
      <c r="K107" s="2">
        <f t="shared" si="5"/>
        <v>302</v>
      </c>
    </row>
    <row r="108" spans="1:11" x14ac:dyDescent="0.4">
      <c r="A108" s="2" t="s">
        <v>287</v>
      </c>
      <c r="B108" s="2" t="s">
        <v>5</v>
      </c>
      <c r="C108" s="4" t="s">
        <v>288</v>
      </c>
      <c r="D108" s="7">
        <f>IF(INT(C108)=0, C108 * 1440, (C108-INT(C108))*1440)</f>
        <v>760.00000000465661</v>
      </c>
      <c r="E108" s="2">
        <v>178</v>
      </c>
      <c r="F108" s="2">
        <f t="shared" si="3"/>
        <v>160</v>
      </c>
      <c r="G108" s="10">
        <f t="shared" si="4"/>
        <v>1008.9999999990687</v>
      </c>
      <c r="H108" s="4" t="s">
        <v>289</v>
      </c>
      <c r="I108" s="3">
        <v>1009</v>
      </c>
      <c r="J108" s="2">
        <v>0.9</v>
      </c>
      <c r="K108" s="2">
        <f t="shared" si="5"/>
        <v>403</v>
      </c>
    </row>
    <row r="109" spans="1:11" x14ac:dyDescent="0.4">
      <c r="A109" s="2" t="s">
        <v>290</v>
      </c>
      <c r="B109" s="2" t="s">
        <v>274</v>
      </c>
      <c r="C109" s="4" t="s">
        <v>288</v>
      </c>
      <c r="D109" s="7">
        <f>IF(INT(C109)=0, C109 * 1440, (C109-INT(C109))*1440)</f>
        <v>760.00000000465661</v>
      </c>
      <c r="E109" s="2">
        <v>335</v>
      </c>
      <c r="F109" s="2">
        <f t="shared" si="3"/>
        <v>301</v>
      </c>
      <c r="G109" s="10">
        <f t="shared" si="4"/>
        <v>860.99999999860302</v>
      </c>
      <c r="H109" s="4" t="s">
        <v>186</v>
      </c>
      <c r="I109" s="3">
        <v>786</v>
      </c>
      <c r="J109" s="2">
        <v>0.9</v>
      </c>
      <c r="K109" s="2">
        <f t="shared" si="5"/>
        <v>314</v>
      </c>
    </row>
    <row r="110" spans="1:11" x14ac:dyDescent="0.4">
      <c r="A110" s="2" t="s">
        <v>291</v>
      </c>
      <c r="B110" s="2" t="s">
        <v>109</v>
      </c>
      <c r="C110" s="4" t="s">
        <v>288</v>
      </c>
      <c r="D110" s="7">
        <f>IF(INT(C110)=0, C110 * 1440, (C110-INT(C110))*1440)</f>
        <v>760.00000000465661</v>
      </c>
      <c r="E110" s="2">
        <v>138</v>
      </c>
      <c r="F110" s="2">
        <f t="shared" si="3"/>
        <v>124</v>
      </c>
      <c r="G110" s="10">
        <f t="shared" si="4"/>
        <v>1052.0000000030268</v>
      </c>
      <c r="H110" s="4" t="s">
        <v>224</v>
      </c>
      <c r="I110" s="3">
        <v>1145</v>
      </c>
      <c r="J110" s="2">
        <v>0.9</v>
      </c>
      <c r="K110" s="2">
        <f t="shared" si="5"/>
        <v>458</v>
      </c>
    </row>
    <row r="111" spans="1:11" x14ac:dyDescent="0.4">
      <c r="A111" s="2" t="s">
        <v>292</v>
      </c>
      <c r="B111" s="2" t="s">
        <v>49</v>
      </c>
      <c r="C111" s="4" t="s">
        <v>288</v>
      </c>
      <c r="D111" s="7">
        <f>IF(INT(C111)=0, C111 * 1440, (C111-INT(C111))*1440)</f>
        <v>760.00000000465661</v>
      </c>
      <c r="E111" s="2">
        <v>144</v>
      </c>
      <c r="F111" s="2">
        <f t="shared" si="3"/>
        <v>129</v>
      </c>
      <c r="G111" s="10">
        <f t="shared" si="4"/>
        <v>785.99999999511056</v>
      </c>
      <c r="H111" s="4" t="s">
        <v>293</v>
      </c>
      <c r="I111" s="3">
        <v>352</v>
      </c>
      <c r="J111" s="2">
        <v>0.9</v>
      </c>
      <c r="K111" s="2">
        <f t="shared" si="5"/>
        <v>140</v>
      </c>
    </row>
    <row r="112" spans="1:11" x14ac:dyDescent="0.4">
      <c r="A112" s="2" t="s">
        <v>297</v>
      </c>
      <c r="B112" s="2" t="s">
        <v>155</v>
      </c>
      <c r="C112" s="4" t="s">
        <v>294</v>
      </c>
      <c r="D112" s="7">
        <f>IF(INT(C112)=0, C112 * 1440, (C112-INT(C112))*1440)</f>
        <v>765</v>
      </c>
      <c r="E112" s="2">
        <v>189</v>
      </c>
      <c r="F112" s="2">
        <f t="shared" si="3"/>
        <v>170</v>
      </c>
      <c r="G112" s="10">
        <f t="shared" si="4"/>
        <v>785.99999999511056</v>
      </c>
      <c r="H112" s="4" t="s">
        <v>293</v>
      </c>
      <c r="I112" s="3">
        <v>650</v>
      </c>
      <c r="J112" s="2">
        <v>0.9</v>
      </c>
      <c r="K112" s="2">
        <f t="shared" si="5"/>
        <v>260</v>
      </c>
    </row>
    <row r="113" spans="1:11" x14ac:dyDescent="0.4">
      <c r="A113" s="2" t="s">
        <v>298</v>
      </c>
      <c r="B113" s="2" t="s">
        <v>24</v>
      </c>
      <c r="C113" s="4" t="s">
        <v>294</v>
      </c>
      <c r="D113" s="7">
        <f>IF(INT(C113)=0, C113 * 1440, (C113-INT(C113))*1440)</f>
        <v>765</v>
      </c>
      <c r="E113" s="2">
        <v>160</v>
      </c>
      <c r="F113" s="2">
        <f t="shared" si="3"/>
        <v>144</v>
      </c>
      <c r="G113" s="10">
        <f t="shared" si="4"/>
        <v>1158.9999999955762</v>
      </c>
      <c r="H113" s="4" t="s">
        <v>299</v>
      </c>
      <c r="I113" s="3">
        <v>533</v>
      </c>
      <c r="J113" s="2">
        <v>0.9</v>
      </c>
      <c r="K113" s="2">
        <f t="shared" si="5"/>
        <v>213</v>
      </c>
    </row>
    <row r="114" spans="1:11" x14ac:dyDescent="0.4">
      <c r="A114" s="2" t="s">
        <v>125</v>
      </c>
      <c r="B114" s="2" t="s">
        <v>5</v>
      </c>
      <c r="C114" s="4" t="s">
        <v>300</v>
      </c>
      <c r="D114" s="7">
        <f>IF(INT(C114)=0, C114 * 1440, (C114-INT(C114))*1440)</f>
        <v>769.99999999534339</v>
      </c>
      <c r="E114" s="2">
        <v>178</v>
      </c>
      <c r="F114" s="2">
        <f t="shared" si="3"/>
        <v>160</v>
      </c>
      <c r="G114" s="10">
        <f t="shared" si="4"/>
        <v>888.00000000279397</v>
      </c>
      <c r="H114" s="4" t="s">
        <v>301</v>
      </c>
      <c r="I114" s="3">
        <v>978</v>
      </c>
      <c r="J114" s="2">
        <v>0.9</v>
      </c>
      <c r="K114" s="2">
        <f t="shared" si="5"/>
        <v>391</v>
      </c>
    </row>
    <row r="115" spans="1:11" x14ac:dyDescent="0.4">
      <c r="A115" s="2" t="s">
        <v>302</v>
      </c>
      <c r="B115" s="2" t="s">
        <v>20</v>
      </c>
      <c r="C115" s="4" t="s">
        <v>300</v>
      </c>
      <c r="D115" s="7">
        <f>IF(INT(C115)=0, C115 * 1440, (C115-INT(C115))*1440)</f>
        <v>769.99999999534339</v>
      </c>
      <c r="E115" s="2">
        <v>297</v>
      </c>
      <c r="F115" s="2">
        <f t="shared" si="3"/>
        <v>267</v>
      </c>
      <c r="G115" s="10">
        <f t="shared" si="4"/>
        <v>1068.000000002794</v>
      </c>
      <c r="H115" s="4" t="s">
        <v>271</v>
      </c>
      <c r="I115" s="3">
        <v>1131</v>
      </c>
      <c r="J115" s="2">
        <v>0.9</v>
      </c>
      <c r="K115" s="2">
        <f t="shared" si="5"/>
        <v>452</v>
      </c>
    </row>
    <row r="116" spans="1:11" x14ac:dyDescent="0.4">
      <c r="A116" s="2" t="s">
        <v>118</v>
      </c>
      <c r="B116" s="2" t="s">
        <v>37</v>
      </c>
      <c r="C116" s="4" t="s">
        <v>300</v>
      </c>
      <c r="D116" s="7">
        <f>IF(INT(C116)=0, C116 * 1440, (C116-INT(C116))*1440)</f>
        <v>769.99999999534339</v>
      </c>
      <c r="E116" s="2">
        <v>144</v>
      </c>
      <c r="F116" s="2">
        <f t="shared" si="3"/>
        <v>129</v>
      </c>
      <c r="G116" s="10">
        <f t="shared" si="4"/>
        <v>1039.0000000025611</v>
      </c>
      <c r="H116" s="4" t="s">
        <v>303</v>
      </c>
      <c r="I116" s="3">
        <v>133</v>
      </c>
      <c r="J116" s="2">
        <v>0.9</v>
      </c>
      <c r="K116" s="2">
        <f t="shared" si="5"/>
        <v>53</v>
      </c>
    </row>
    <row r="117" spans="1:11" x14ac:dyDescent="0.4">
      <c r="A117" s="2" t="s">
        <v>306</v>
      </c>
      <c r="B117" s="2" t="s">
        <v>11</v>
      </c>
      <c r="C117" s="4" t="s">
        <v>307</v>
      </c>
      <c r="D117" s="7">
        <f>IF(INT(C117)=0, C117 * 1440, (C117-INT(C117))*1440)</f>
        <v>779.99999999650754</v>
      </c>
      <c r="E117" s="2">
        <v>276</v>
      </c>
      <c r="F117" s="2">
        <f t="shared" si="3"/>
        <v>248</v>
      </c>
      <c r="G117" s="10">
        <f t="shared" si="4"/>
        <v>1010.0000000023283</v>
      </c>
      <c r="H117" s="4" t="s">
        <v>308</v>
      </c>
      <c r="I117" s="3">
        <v>995</v>
      </c>
      <c r="J117" s="2">
        <v>0.9</v>
      </c>
      <c r="K117" s="2">
        <f t="shared" si="5"/>
        <v>398</v>
      </c>
    </row>
    <row r="118" spans="1:11" x14ac:dyDescent="0.4">
      <c r="A118" s="2" t="s">
        <v>309</v>
      </c>
      <c r="B118" s="2" t="s">
        <v>31</v>
      </c>
      <c r="C118" s="4" t="s">
        <v>307</v>
      </c>
      <c r="D118" s="7">
        <f>IF(INT(C118)=0, C118 * 1440, (C118-INT(C118))*1440)</f>
        <v>779.99999999650754</v>
      </c>
      <c r="E118" s="2">
        <v>189</v>
      </c>
      <c r="F118" s="2">
        <f t="shared" si="3"/>
        <v>170</v>
      </c>
      <c r="G118" s="10">
        <f t="shared" si="4"/>
        <v>975.00000000349246</v>
      </c>
      <c r="H118" s="4" t="s">
        <v>310</v>
      </c>
      <c r="I118" s="3">
        <v>1592</v>
      </c>
      <c r="J118" s="2">
        <v>0.9</v>
      </c>
      <c r="K118" s="2">
        <f t="shared" si="5"/>
        <v>636</v>
      </c>
    </row>
    <row r="119" spans="1:11" x14ac:dyDescent="0.4">
      <c r="A119" s="2" t="s">
        <v>311</v>
      </c>
      <c r="B119" s="2" t="s">
        <v>45</v>
      </c>
      <c r="C119" s="4" t="s">
        <v>307</v>
      </c>
      <c r="D119" s="7">
        <f>IF(INT(C119)=0, C119 * 1440, (C119-INT(C119))*1440)</f>
        <v>779.99999999650754</v>
      </c>
      <c r="E119" s="2">
        <v>152</v>
      </c>
      <c r="F119" s="2">
        <f t="shared" si="3"/>
        <v>136</v>
      </c>
      <c r="G119" s="10">
        <f t="shared" si="4"/>
        <v>815.99999999860302</v>
      </c>
      <c r="H119" s="4" t="s">
        <v>234</v>
      </c>
      <c r="I119" s="3">
        <v>754</v>
      </c>
      <c r="J119" s="2">
        <v>0.9</v>
      </c>
      <c r="K119" s="2">
        <f t="shared" si="5"/>
        <v>301</v>
      </c>
    </row>
    <row r="120" spans="1:11" x14ac:dyDescent="0.4">
      <c r="A120" s="2" t="s">
        <v>312</v>
      </c>
      <c r="B120" s="2" t="s">
        <v>72</v>
      </c>
      <c r="C120" s="4" t="s">
        <v>307</v>
      </c>
      <c r="D120" s="7">
        <f>IF(INT(C120)=0, C120 * 1440, (C120-INT(C120))*1440)</f>
        <v>779.99999999650754</v>
      </c>
      <c r="E120" s="2">
        <v>361</v>
      </c>
      <c r="F120" s="2">
        <f t="shared" si="3"/>
        <v>324</v>
      </c>
      <c r="G120" s="10">
        <f t="shared" si="4"/>
        <v>833.00000000162981</v>
      </c>
      <c r="H120" s="4" t="s">
        <v>313</v>
      </c>
      <c r="I120" s="3">
        <v>741</v>
      </c>
      <c r="J120" s="2">
        <v>0.9</v>
      </c>
      <c r="K120" s="2">
        <f t="shared" si="5"/>
        <v>296</v>
      </c>
    </row>
    <row r="121" spans="1:11" x14ac:dyDescent="0.4">
      <c r="A121" s="2" t="s">
        <v>314</v>
      </c>
      <c r="B121" s="2" t="s">
        <v>72</v>
      </c>
      <c r="C121" s="4" t="s">
        <v>307</v>
      </c>
      <c r="D121" s="7">
        <f>IF(INT(C121)=0, C121 * 1440, (C121-INT(C121))*1440)</f>
        <v>779.99999999650754</v>
      </c>
      <c r="E121" s="2">
        <v>361</v>
      </c>
      <c r="F121" s="2">
        <f t="shared" si="3"/>
        <v>324</v>
      </c>
      <c r="G121" s="10">
        <f t="shared" si="4"/>
        <v>1078.9999999967404</v>
      </c>
      <c r="H121" s="4" t="s">
        <v>241</v>
      </c>
      <c r="I121" s="3">
        <v>806</v>
      </c>
      <c r="J121" s="2">
        <v>0.9</v>
      </c>
      <c r="K121" s="2">
        <f t="shared" si="5"/>
        <v>322</v>
      </c>
    </row>
    <row r="122" spans="1:11" x14ac:dyDescent="0.4">
      <c r="A122" s="2" t="s">
        <v>315</v>
      </c>
      <c r="B122" s="2" t="s">
        <v>17</v>
      </c>
      <c r="C122" s="4" t="s">
        <v>307</v>
      </c>
      <c r="D122" s="7">
        <f>IF(INT(C122)=0, C122 * 1440, (C122-INT(C122))*1440)</f>
        <v>779.99999999650754</v>
      </c>
      <c r="E122" s="2">
        <v>286</v>
      </c>
      <c r="F122" s="2">
        <f t="shared" si="3"/>
        <v>257</v>
      </c>
      <c r="G122" s="10">
        <f t="shared" si="4"/>
        <v>1087.0000000018626</v>
      </c>
      <c r="H122" s="4" t="s">
        <v>316</v>
      </c>
      <c r="I122" s="3">
        <v>1159</v>
      </c>
      <c r="J122" s="2">
        <v>0.9</v>
      </c>
      <c r="K122" s="2">
        <f t="shared" si="5"/>
        <v>463</v>
      </c>
    </row>
    <row r="123" spans="1:11" x14ac:dyDescent="0.4">
      <c r="A123" s="2" t="s">
        <v>317</v>
      </c>
      <c r="B123" s="2" t="s">
        <v>5</v>
      </c>
      <c r="C123" s="4" t="s">
        <v>258</v>
      </c>
      <c r="D123" s="7">
        <f>IF(INT(C123)=0, C123 * 1440, (C123-INT(C123))*1440)</f>
        <v>785.00000000232831</v>
      </c>
      <c r="E123" s="2">
        <v>178</v>
      </c>
      <c r="F123" s="2">
        <f t="shared" si="3"/>
        <v>160</v>
      </c>
      <c r="G123" s="10">
        <f t="shared" si="4"/>
        <v>920.00000000232831</v>
      </c>
      <c r="H123" s="4" t="s">
        <v>318</v>
      </c>
      <c r="I123" s="3">
        <v>703</v>
      </c>
      <c r="J123" s="2">
        <v>0.9</v>
      </c>
      <c r="K123" s="2">
        <f t="shared" si="5"/>
        <v>281</v>
      </c>
    </row>
    <row r="124" spans="1:11" x14ac:dyDescent="0.4">
      <c r="A124" s="2" t="s">
        <v>321</v>
      </c>
      <c r="B124" s="2" t="s">
        <v>45</v>
      </c>
      <c r="C124" s="4" t="s">
        <v>258</v>
      </c>
      <c r="D124" s="7">
        <f>IF(INT(C124)=0, C124 * 1440, (C124-INT(C124))*1440)</f>
        <v>785.00000000232831</v>
      </c>
      <c r="E124" s="2">
        <v>152</v>
      </c>
      <c r="F124" s="2">
        <f t="shared" si="3"/>
        <v>136</v>
      </c>
      <c r="G124" s="10">
        <f t="shared" si="4"/>
        <v>1013.0000000016298</v>
      </c>
      <c r="H124" s="4" t="s">
        <v>322</v>
      </c>
      <c r="I124" s="3">
        <v>792</v>
      </c>
      <c r="J124" s="2">
        <v>0.9</v>
      </c>
      <c r="K124" s="2">
        <f t="shared" si="5"/>
        <v>316</v>
      </c>
    </row>
    <row r="125" spans="1:11" x14ac:dyDescent="0.4">
      <c r="A125" s="2" t="s">
        <v>323</v>
      </c>
      <c r="B125" s="2" t="s">
        <v>24</v>
      </c>
      <c r="C125" s="4" t="s">
        <v>320</v>
      </c>
      <c r="D125" s="7">
        <f>IF(INT(C125)=0, C125 * 1440, (C125-INT(C125))*1440)</f>
        <v>789.99999999767169</v>
      </c>
      <c r="E125" s="2">
        <v>160</v>
      </c>
      <c r="F125" s="2">
        <f t="shared" si="3"/>
        <v>144</v>
      </c>
      <c r="G125" s="10">
        <f t="shared" si="4"/>
        <v>1123.0000000039581</v>
      </c>
      <c r="H125" s="4" t="s">
        <v>324</v>
      </c>
      <c r="I125" s="3">
        <v>952</v>
      </c>
      <c r="J125" s="2">
        <v>0.9</v>
      </c>
      <c r="K125" s="2">
        <f t="shared" si="5"/>
        <v>380</v>
      </c>
    </row>
    <row r="126" spans="1:11" x14ac:dyDescent="0.4">
      <c r="A126" s="2" t="s">
        <v>325</v>
      </c>
      <c r="B126" s="2" t="s">
        <v>24</v>
      </c>
      <c r="C126" s="4" t="s">
        <v>320</v>
      </c>
      <c r="D126" s="7">
        <f>IF(INT(C126)=0, C126 * 1440, (C126-INT(C126))*1440)</f>
        <v>789.99999999767169</v>
      </c>
      <c r="E126" s="2">
        <v>160</v>
      </c>
      <c r="F126" s="2">
        <f t="shared" si="3"/>
        <v>144</v>
      </c>
      <c r="G126" s="10">
        <f t="shared" si="4"/>
        <v>792.9999999969732</v>
      </c>
      <c r="H126" s="4" t="s">
        <v>252</v>
      </c>
      <c r="I126" s="3">
        <v>1162</v>
      </c>
      <c r="J126" s="2">
        <v>0.9</v>
      </c>
      <c r="K126" s="2">
        <f t="shared" si="5"/>
        <v>464</v>
      </c>
    </row>
    <row r="127" spans="1:11" x14ac:dyDescent="0.4">
      <c r="A127" s="2" t="s">
        <v>326</v>
      </c>
      <c r="B127" s="2" t="s">
        <v>5</v>
      </c>
      <c r="C127" s="4" t="s">
        <v>295</v>
      </c>
      <c r="D127" s="7">
        <f>IF(INT(C127)=0, C127 * 1440, (C127-INT(C127))*1440)</f>
        <v>795.00000000349246</v>
      </c>
      <c r="E127" s="2">
        <v>178</v>
      </c>
      <c r="F127" s="2">
        <f t="shared" si="3"/>
        <v>160</v>
      </c>
      <c r="G127" s="10">
        <f t="shared" si="4"/>
        <v>1177.0000000018626</v>
      </c>
      <c r="H127" s="4" t="s">
        <v>327</v>
      </c>
      <c r="I127" s="3">
        <v>1144</v>
      </c>
      <c r="J127" s="2">
        <v>0.9</v>
      </c>
      <c r="K127" s="2">
        <f t="shared" si="5"/>
        <v>457</v>
      </c>
    </row>
    <row r="128" spans="1:11" x14ac:dyDescent="0.4">
      <c r="A128" s="2" t="s">
        <v>329</v>
      </c>
      <c r="B128" s="2" t="s">
        <v>5</v>
      </c>
      <c r="C128" s="4" t="s">
        <v>295</v>
      </c>
      <c r="D128" s="7">
        <f>IF(INT(C128)=0, C128 * 1440, (C128-INT(C128))*1440)</f>
        <v>795.00000000349246</v>
      </c>
      <c r="E128" s="2">
        <v>178</v>
      </c>
      <c r="F128" s="2">
        <f t="shared" si="3"/>
        <v>160</v>
      </c>
      <c r="G128" s="10">
        <f t="shared" si="4"/>
        <v>1194.9999999976717</v>
      </c>
      <c r="H128" s="4" t="s">
        <v>330</v>
      </c>
      <c r="I128" s="3">
        <v>640</v>
      </c>
      <c r="J128" s="2">
        <v>0.9</v>
      </c>
      <c r="K128" s="2">
        <f t="shared" si="5"/>
        <v>256</v>
      </c>
    </row>
    <row r="129" spans="1:11" x14ac:dyDescent="0.4">
      <c r="A129" s="2" t="s">
        <v>331</v>
      </c>
      <c r="B129" s="2" t="s">
        <v>20</v>
      </c>
      <c r="C129" s="4" t="s">
        <v>304</v>
      </c>
      <c r="D129" s="7">
        <f>IF(INT(C129)=0, C129 * 1440, (C129-INT(C129))*1440)</f>
        <v>799.99999999883585</v>
      </c>
      <c r="E129" s="2">
        <v>297</v>
      </c>
      <c r="F129" s="2">
        <f t="shared" si="3"/>
        <v>267</v>
      </c>
      <c r="G129" s="10">
        <f t="shared" si="4"/>
        <v>934.99999999883585</v>
      </c>
      <c r="H129" s="4" t="s">
        <v>332</v>
      </c>
      <c r="I129" s="3">
        <v>5378</v>
      </c>
      <c r="J129" s="2">
        <v>0.9</v>
      </c>
      <c r="K129" s="2">
        <f t="shared" si="5"/>
        <v>2151</v>
      </c>
    </row>
    <row r="130" spans="1:11" x14ac:dyDescent="0.4">
      <c r="A130" s="2" t="s">
        <v>333</v>
      </c>
      <c r="B130" s="2" t="s">
        <v>17</v>
      </c>
      <c r="C130" s="4" t="s">
        <v>334</v>
      </c>
      <c r="D130" s="7">
        <f>IF(INT(C130)=0, C130 * 1440, (C130-INT(C130))*1440)</f>
        <v>805.00000000465661</v>
      </c>
      <c r="E130" s="2">
        <v>286</v>
      </c>
      <c r="F130" s="2">
        <f t="shared" si="3"/>
        <v>257</v>
      </c>
      <c r="G130" s="10">
        <f t="shared" si="4"/>
        <v>814.99999999534339</v>
      </c>
      <c r="H130" s="4" t="s">
        <v>335</v>
      </c>
      <c r="I130" s="3">
        <v>3320</v>
      </c>
      <c r="J130" s="2">
        <v>0.9</v>
      </c>
      <c r="K130" s="2">
        <f t="shared" si="5"/>
        <v>1328</v>
      </c>
    </row>
    <row r="131" spans="1:11" x14ac:dyDescent="0.4">
      <c r="A131" s="2" t="s">
        <v>340</v>
      </c>
      <c r="B131" s="2" t="s">
        <v>72</v>
      </c>
      <c r="C131" s="4" t="s">
        <v>338</v>
      </c>
      <c r="D131" s="7">
        <f>IF(INT(C131)=0, C131 * 1440, (C131-INT(C131))*1440)</f>
        <v>810</v>
      </c>
      <c r="E131" s="2">
        <v>361</v>
      </c>
      <c r="F131" s="2">
        <f t="shared" ref="F131:F194" si="6">INT(E131*J131)</f>
        <v>324</v>
      </c>
      <c r="G131" s="10">
        <f t="shared" ref="G131:G194" si="7">IF(INT(H131)=0, H131 * 1440, (H131-INT(H131))*1440)</f>
        <v>953.99999999790452</v>
      </c>
      <c r="H131" s="4" t="s">
        <v>341</v>
      </c>
      <c r="I131" s="3">
        <v>1099</v>
      </c>
      <c r="J131" s="2">
        <v>0.9</v>
      </c>
      <c r="K131" s="2">
        <f t="shared" ref="K131:K194" si="8">INT(I131*0.4)</f>
        <v>439</v>
      </c>
    </row>
    <row r="132" spans="1:11" x14ac:dyDescent="0.4">
      <c r="A132" s="2" t="s">
        <v>342</v>
      </c>
      <c r="B132" s="2" t="s">
        <v>24</v>
      </c>
      <c r="C132" s="4" t="s">
        <v>338</v>
      </c>
      <c r="D132" s="7">
        <f>IF(INT(C132)=0, C132 * 1440, (C132-INT(C132))*1440)</f>
        <v>810</v>
      </c>
      <c r="E132" s="2">
        <v>160</v>
      </c>
      <c r="F132" s="2">
        <f t="shared" si="6"/>
        <v>144</v>
      </c>
      <c r="G132" s="10">
        <f t="shared" si="7"/>
        <v>960.99999999976717</v>
      </c>
      <c r="H132" s="4" t="s">
        <v>185</v>
      </c>
      <c r="I132" s="3">
        <v>834</v>
      </c>
      <c r="J132" s="2">
        <v>0.9</v>
      </c>
      <c r="K132" s="2">
        <f t="shared" si="8"/>
        <v>333</v>
      </c>
    </row>
    <row r="133" spans="1:11" x14ac:dyDescent="0.4">
      <c r="A133" s="2" t="s">
        <v>343</v>
      </c>
      <c r="B133" s="2" t="s">
        <v>5</v>
      </c>
      <c r="C133" s="4" t="s">
        <v>335</v>
      </c>
      <c r="D133" s="7">
        <f>IF(INT(C133)=0, C133 * 1440, (C133-INT(C133))*1440)</f>
        <v>814.99999999534339</v>
      </c>
      <c r="E133" s="2">
        <v>178</v>
      </c>
      <c r="F133" s="2">
        <f t="shared" si="6"/>
        <v>160</v>
      </c>
      <c r="G133" s="10">
        <f t="shared" si="7"/>
        <v>1004.9999999965075</v>
      </c>
      <c r="H133" s="4" t="s">
        <v>344</v>
      </c>
      <c r="I133" s="3">
        <v>626</v>
      </c>
      <c r="J133" s="2">
        <v>0.9</v>
      </c>
      <c r="K133" s="2">
        <f t="shared" si="8"/>
        <v>250</v>
      </c>
    </row>
    <row r="134" spans="1:11" x14ac:dyDescent="0.4">
      <c r="A134" s="2" t="s">
        <v>346</v>
      </c>
      <c r="B134" s="2" t="s">
        <v>24</v>
      </c>
      <c r="C134" s="4" t="s">
        <v>335</v>
      </c>
      <c r="D134" s="7">
        <f>IF(INT(C134)=0, C134 * 1440, (C134-INT(C134))*1440)</f>
        <v>814.99999999534339</v>
      </c>
      <c r="E134" s="2">
        <v>160</v>
      </c>
      <c r="F134" s="2">
        <f t="shared" si="6"/>
        <v>144</v>
      </c>
      <c r="G134" s="10">
        <f t="shared" si="7"/>
        <v>820.00000000116415</v>
      </c>
      <c r="H134" s="4" t="s">
        <v>347</v>
      </c>
      <c r="I134" s="3">
        <v>719</v>
      </c>
      <c r="J134" s="2">
        <v>0.9</v>
      </c>
      <c r="K134" s="2">
        <f t="shared" si="8"/>
        <v>287</v>
      </c>
    </row>
    <row r="135" spans="1:11" x14ac:dyDescent="0.4">
      <c r="A135" s="2" t="s">
        <v>348</v>
      </c>
      <c r="B135" s="2" t="s">
        <v>24</v>
      </c>
      <c r="C135" s="4" t="s">
        <v>335</v>
      </c>
      <c r="D135" s="7">
        <f>IF(INT(C135)=0, C135 * 1440, (C135-INT(C135))*1440)</f>
        <v>814.99999999534339</v>
      </c>
      <c r="E135" s="2">
        <v>160</v>
      </c>
      <c r="F135" s="2">
        <f t="shared" si="6"/>
        <v>144</v>
      </c>
      <c r="G135" s="10">
        <f t="shared" si="7"/>
        <v>1093.0000000004657</v>
      </c>
      <c r="H135" s="4" t="s">
        <v>181</v>
      </c>
      <c r="I135" s="3">
        <v>799</v>
      </c>
      <c r="J135" s="2">
        <v>0.9</v>
      </c>
      <c r="K135" s="2">
        <f t="shared" si="8"/>
        <v>319</v>
      </c>
    </row>
    <row r="136" spans="1:11" x14ac:dyDescent="0.4">
      <c r="A136" s="2" t="s">
        <v>349</v>
      </c>
      <c r="B136" s="2" t="s">
        <v>72</v>
      </c>
      <c r="C136" s="4" t="s">
        <v>347</v>
      </c>
      <c r="D136" s="7">
        <f>IF(INT(C136)=0, C136 * 1440, (C136-INT(C136))*1440)</f>
        <v>820.00000000116415</v>
      </c>
      <c r="E136" s="2">
        <v>361</v>
      </c>
      <c r="F136" s="2">
        <f t="shared" si="6"/>
        <v>324</v>
      </c>
      <c r="G136" s="10">
        <f t="shared" si="7"/>
        <v>1152.000000004191</v>
      </c>
      <c r="H136" s="4" t="s">
        <v>350</v>
      </c>
      <c r="I136" s="3">
        <v>728</v>
      </c>
      <c r="J136" s="2">
        <v>0.9</v>
      </c>
      <c r="K136" s="2">
        <f t="shared" si="8"/>
        <v>291</v>
      </c>
    </row>
    <row r="137" spans="1:11" x14ac:dyDescent="0.4">
      <c r="A137" s="2" t="s">
        <v>351</v>
      </c>
      <c r="B137" s="2" t="s">
        <v>24</v>
      </c>
      <c r="C137" s="4" t="s">
        <v>347</v>
      </c>
      <c r="D137" s="7">
        <f>IF(INT(C137)=0, C137 * 1440, (C137-INT(C137))*1440)</f>
        <v>820.00000000116415</v>
      </c>
      <c r="E137" s="2">
        <v>160</v>
      </c>
      <c r="F137" s="2">
        <f t="shared" si="6"/>
        <v>144</v>
      </c>
      <c r="G137" s="10">
        <f t="shared" si="7"/>
        <v>1170</v>
      </c>
      <c r="H137" s="4" t="s">
        <v>352</v>
      </c>
      <c r="I137" s="3">
        <v>550</v>
      </c>
      <c r="J137" s="2">
        <v>0.9</v>
      </c>
      <c r="K137" s="2">
        <f t="shared" si="8"/>
        <v>220</v>
      </c>
    </row>
    <row r="138" spans="1:11" x14ac:dyDescent="0.4">
      <c r="A138" s="2" t="s">
        <v>353</v>
      </c>
      <c r="B138" s="2" t="s">
        <v>72</v>
      </c>
      <c r="C138" s="4" t="s">
        <v>347</v>
      </c>
      <c r="D138" s="7">
        <f>IF(INT(C138)=0, C138 * 1440, (C138-INT(C138))*1440)</f>
        <v>820.00000000116415</v>
      </c>
      <c r="E138" s="2">
        <v>361</v>
      </c>
      <c r="F138" s="2">
        <f t="shared" si="6"/>
        <v>324</v>
      </c>
      <c r="G138" s="10">
        <f t="shared" si="7"/>
        <v>846.99999999487773</v>
      </c>
      <c r="H138" s="4" t="s">
        <v>238</v>
      </c>
      <c r="I138" s="3">
        <v>1453</v>
      </c>
      <c r="J138" s="2">
        <v>0.9</v>
      </c>
      <c r="K138" s="2">
        <f t="shared" si="8"/>
        <v>581</v>
      </c>
    </row>
    <row r="139" spans="1:11" x14ac:dyDescent="0.4">
      <c r="A139" s="2" t="s">
        <v>356</v>
      </c>
      <c r="B139" s="2" t="s">
        <v>14</v>
      </c>
      <c r="C139" s="4" t="s">
        <v>337</v>
      </c>
      <c r="D139" s="7">
        <f>IF(INT(C139)=0, C139 * 1440, (C139-INT(C139))*1440)</f>
        <v>830.00000000232831</v>
      </c>
      <c r="E139" s="2">
        <v>314</v>
      </c>
      <c r="F139" s="2">
        <f t="shared" si="6"/>
        <v>282</v>
      </c>
      <c r="G139" s="10">
        <f t="shared" si="7"/>
        <v>952.00000000186265</v>
      </c>
      <c r="H139" s="4" t="s">
        <v>357</v>
      </c>
      <c r="I139" s="3">
        <v>4142</v>
      </c>
      <c r="J139" s="2">
        <v>0.9</v>
      </c>
      <c r="K139" s="2">
        <f t="shared" si="8"/>
        <v>1656</v>
      </c>
    </row>
    <row r="140" spans="1:11" x14ac:dyDescent="0.4">
      <c r="A140" s="2" t="s">
        <v>358</v>
      </c>
      <c r="B140" s="2" t="s">
        <v>5</v>
      </c>
      <c r="C140" s="4" t="s">
        <v>359</v>
      </c>
      <c r="D140" s="7">
        <f>IF(INT(C140)=0, C140 * 1440, (C140-INT(C140))*1440)</f>
        <v>834.99999999767169</v>
      </c>
      <c r="E140" s="2">
        <v>178</v>
      </c>
      <c r="F140" s="2">
        <f t="shared" si="6"/>
        <v>160</v>
      </c>
      <c r="G140" s="10">
        <f t="shared" si="7"/>
        <v>1016.0000000009313</v>
      </c>
      <c r="H140" s="4" t="s">
        <v>262</v>
      </c>
      <c r="I140" s="3">
        <v>611</v>
      </c>
      <c r="J140" s="2">
        <v>0.9</v>
      </c>
      <c r="K140" s="2">
        <f t="shared" si="8"/>
        <v>244</v>
      </c>
    </row>
    <row r="141" spans="1:11" x14ac:dyDescent="0.4">
      <c r="A141" s="2" t="s">
        <v>361</v>
      </c>
      <c r="B141" s="2" t="s">
        <v>24</v>
      </c>
      <c r="C141" s="4" t="s">
        <v>359</v>
      </c>
      <c r="D141" s="7">
        <f>IF(INT(C141)=0, C141 * 1440, (C141-INT(C141))*1440)</f>
        <v>834.99999999767169</v>
      </c>
      <c r="E141" s="2">
        <v>160</v>
      </c>
      <c r="F141" s="2">
        <f t="shared" si="6"/>
        <v>144</v>
      </c>
      <c r="G141" s="10">
        <f t="shared" si="7"/>
        <v>966.99999999837019</v>
      </c>
      <c r="H141" s="4" t="s">
        <v>175</v>
      </c>
      <c r="I141" s="3">
        <v>1679</v>
      </c>
      <c r="J141" s="2">
        <v>0.9</v>
      </c>
      <c r="K141" s="2">
        <f t="shared" si="8"/>
        <v>671</v>
      </c>
    </row>
    <row r="142" spans="1:11" x14ac:dyDescent="0.4">
      <c r="A142" s="2" t="s">
        <v>362</v>
      </c>
      <c r="B142" s="2" t="s">
        <v>37</v>
      </c>
      <c r="C142" s="4" t="s">
        <v>359</v>
      </c>
      <c r="D142" s="7">
        <f>IF(INT(C142)=0, C142 * 1440, (C142-INT(C142))*1440)</f>
        <v>834.99999999767169</v>
      </c>
      <c r="E142" s="2">
        <v>144</v>
      </c>
      <c r="F142" s="2">
        <f t="shared" si="6"/>
        <v>129</v>
      </c>
      <c r="G142" s="10">
        <f t="shared" si="7"/>
        <v>992.99999999930151</v>
      </c>
      <c r="H142" s="4" t="s">
        <v>354</v>
      </c>
      <c r="I142" s="3">
        <v>1126</v>
      </c>
      <c r="J142" s="2">
        <v>0.9</v>
      </c>
      <c r="K142" s="2">
        <f t="shared" si="8"/>
        <v>450</v>
      </c>
    </row>
    <row r="143" spans="1:11" x14ac:dyDescent="0.4">
      <c r="A143" s="2" t="s">
        <v>363</v>
      </c>
      <c r="B143" s="2" t="s">
        <v>24</v>
      </c>
      <c r="C143" s="4" t="s">
        <v>359</v>
      </c>
      <c r="D143" s="7">
        <f>IF(INT(C143)=0, C143 * 1440, (C143-INT(C143))*1440)</f>
        <v>834.99999999767169</v>
      </c>
      <c r="E143" s="2">
        <v>160</v>
      </c>
      <c r="F143" s="2">
        <f t="shared" si="6"/>
        <v>144</v>
      </c>
      <c r="G143" s="10">
        <f t="shared" si="7"/>
        <v>1119.000000001397</v>
      </c>
      <c r="H143" s="4" t="s">
        <v>364</v>
      </c>
      <c r="I143" s="3">
        <v>788</v>
      </c>
      <c r="J143" s="2">
        <v>0.9</v>
      </c>
      <c r="K143" s="2">
        <f t="shared" si="8"/>
        <v>315</v>
      </c>
    </row>
    <row r="144" spans="1:11" x14ac:dyDescent="0.4">
      <c r="A144" s="2" t="s">
        <v>365</v>
      </c>
      <c r="B144" s="2" t="s">
        <v>17</v>
      </c>
      <c r="C144" s="4" t="s">
        <v>278</v>
      </c>
      <c r="D144" s="7">
        <f>IF(INT(C144)=0, C144 * 1440, (C144-INT(C144))*1440)</f>
        <v>840.00000000349246</v>
      </c>
      <c r="E144" s="2">
        <v>286</v>
      </c>
      <c r="F144" s="2">
        <f t="shared" si="6"/>
        <v>257</v>
      </c>
      <c r="G144" s="10">
        <f t="shared" si="7"/>
        <v>1178.0000000051223</v>
      </c>
      <c r="H144" s="4" t="s">
        <v>366</v>
      </c>
      <c r="I144" s="3">
        <v>1133</v>
      </c>
      <c r="J144" s="2">
        <v>0.9</v>
      </c>
      <c r="K144" s="2">
        <f t="shared" si="8"/>
        <v>453</v>
      </c>
    </row>
    <row r="145" spans="1:11" x14ac:dyDescent="0.4">
      <c r="A145" s="2" t="s">
        <v>367</v>
      </c>
      <c r="B145" s="2" t="s">
        <v>42</v>
      </c>
      <c r="C145" s="4" t="s">
        <v>278</v>
      </c>
      <c r="D145" s="7">
        <f>IF(INT(C145)=0, C145 * 1440, (C145-INT(C145))*1440)</f>
        <v>840.00000000349246</v>
      </c>
      <c r="E145" s="2">
        <v>172</v>
      </c>
      <c r="F145" s="2">
        <f t="shared" si="6"/>
        <v>154</v>
      </c>
      <c r="G145" s="10">
        <f t="shared" si="7"/>
        <v>869.00000000372529</v>
      </c>
      <c r="H145" s="4" t="s">
        <v>368</v>
      </c>
      <c r="I145" s="3">
        <v>1233</v>
      </c>
      <c r="J145" s="2">
        <v>0.9</v>
      </c>
      <c r="K145" s="2">
        <f t="shared" si="8"/>
        <v>493</v>
      </c>
    </row>
    <row r="146" spans="1:11" x14ac:dyDescent="0.4">
      <c r="A146" s="2" t="s">
        <v>369</v>
      </c>
      <c r="B146" s="2" t="s">
        <v>24</v>
      </c>
      <c r="C146" s="4" t="s">
        <v>278</v>
      </c>
      <c r="D146" s="7">
        <f>IF(INT(C146)=0, C146 * 1440, (C146-INT(C146))*1440)</f>
        <v>840.00000000349246</v>
      </c>
      <c r="E146" s="2">
        <v>160</v>
      </c>
      <c r="F146" s="2">
        <f t="shared" si="6"/>
        <v>144</v>
      </c>
      <c r="G146" s="10">
        <f t="shared" si="7"/>
        <v>1021.9999999995343</v>
      </c>
      <c r="H146" s="4" t="s">
        <v>370</v>
      </c>
      <c r="I146" s="3">
        <v>1020</v>
      </c>
      <c r="J146" s="2">
        <v>0.9</v>
      </c>
      <c r="K146" s="2">
        <f t="shared" si="8"/>
        <v>408</v>
      </c>
    </row>
    <row r="147" spans="1:11" x14ac:dyDescent="0.4">
      <c r="A147" s="2" t="s">
        <v>371</v>
      </c>
      <c r="B147" s="2" t="s">
        <v>31</v>
      </c>
      <c r="C147" s="4" t="s">
        <v>372</v>
      </c>
      <c r="D147" s="7">
        <f>IF(INT(C147)=0, C147 * 1440, (C147-INT(C147))*1440)</f>
        <v>844.99999999883585</v>
      </c>
      <c r="E147" s="2">
        <v>189</v>
      </c>
      <c r="F147" s="2">
        <f t="shared" si="6"/>
        <v>170</v>
      </c>
      <c r="G147" s="10">
        <f t="shared" si="7"/>
        <v>956.99999999720603</v>
      </c>
      <c r="H147" s="4" t="s">
        <v>149</v>
      </c>
      <c r="I147" s="3">
        <v>1053</v>
      </c>
      <c r="J147" s="2">
        <v>0.9</v>
      </c>
      <c r="K147" s="2">
        <f t="shared" si="8"/>
        <v>421</v>
      </c>
    </row>
    <row r="148" spans="1:11" x14ac:dyDescent="0.4">
      <c r="A148" s="2" t="s">
        <v>376</v>
      </c>
      <c r="B148" s="2" t="s">
        <v>24</v>
      </c>
      <c r="C148" s="4" t="s">
        <v>374</v>
      </c>
      <c r="D148" s="7">
        <f>IF(INT(C148)=0, C148 * 1440, (C148-INT(C148))*1440)</f>
        <v>850.00000000465661</v>
      </c>
      <c r="E148" s="2">
        <v>160</v>
      </c>
      <c r="F148" s="2">
        <f t="shared" si="6"/>
        <v>144</v>
      </c>
      <c r="G148" s="10">
        <f t="shared" si="7"/>
        <v>917.0000000030268</v>
      </c>
      <c r="H148" s="4" t="s">
        <v>263</v>
      </c>
      <c r="I148" s="3">
        <v>1632</v>
      </c>
      <c r="J148" s="2">
        <v>0.9</v>
      </c>
      <c r="K148" s="2">
        <f t="shared" si="8"/>
        <v>652</v>
      </c>
    </row>
    <row r="149" spans="1:11" x14ac:dyDescent="0.4">
      <c r="A149" s="2" t="s">
        <v>379</v>
      </c>
      <c r="B149" s="2" t="s">
        <v>42</v>
      </c>
      <c r="C149" s="4" t="s">
        <v>377</v>
      </c>
      <c r="D149" s="7">
        <f>IF(INT(C149)=0, C149 * 1440, (C149-INT(C149))*1440)</f>
        <v>855</v>
      </c>
      <c r="E149" s="2">
        <v>172</v>
      </c>
      <c r="F149" s="2">
        <f t="shared" si="6"/>
        <v>154</v>
      </c>
      <c r="G149" s="10">
        <f t="shared" si="7"/>
        <v>1023.000000002794</v>
      </c>
      <c r="H149" s="4" t="s">
        <v>380</v>
      </c>
      <c r="I149" s="3">
        <v>742</v>
      </c>
      <c r="J149" s="2">
        <v>0.9</v>
      </c>
      <c r="K149" s="2">
        <f t="shared" si="8"/>
        <v>296</v>
      </c>
    </row>
    <row r="150" spans="1:11" x14ac:dyDescent="0.4">
      <c r="A150" s="2" t="s">
        <v>381</v>
      </c>
      <c r="B150" s="2" t="s">
        <v>49</v>
      </c>
      <c r="C150" s="4" t="s">
        <v>377</v>
      </c>
      <c r="D150" s="7">
        <f>IF(INT(C150)=0, C150 * 1440, (C150-INT(C150))*1440)</f>
        <v>855</v>
      </c>
      <c r="E150" s="2">
        <v>144</v>
      </c>
      <c r="F150" s="2">
        <f t="shared" si="6"/>
        <v>129</v>
      </c>
      <c r="G150" s="10">
        <f t="shared" si="7"/>
        <v>1126.0000000032596</v>
      </c>
      <c r="H150" s="4" t="s">
        <v>382</v>
      </c>
      <c r="I150" s="3">
        <v>1024</v>
      </c>
      <c r="J150" s="2">
        <v>0.9</v>
      </c>
      <c r="K150" s="2">
        <f t="shared" si="8"/>
        <v>409</v>
      </c>
    </row>
    <row r="151" spans="1:11" x14ac:dyDescent="0.4">
      <c r="A151" s="2" t="s">
        <v>383</v>
      </c>
      <c r="B151" s="2" t="s">
        <v>42</v>
      </c>
      <c r="C151" s="4" t="s">
        <v>360</v>
      </c>
      <c r="D151" s="7">
        <f>IF(INT(C151)=0, C151 * 1440, (C151-INT(C151))*1440)</f>
        <v>859.99999999534339</v>
      </c>
      <c r="E151" s="2">
        <v>172</v>
      </c>
      <c r="F151" s="2">
        <f t="shared" si="6"/>
        <v>154</v>
      </c>
      <c r="G151" s="10">
        <f t="shared" si="7"/>
        <v>1008.9999999990687</v>
      </c>
      <c r="H151" s="4" t="s">
        <v>289</v>
      </c>
      <c r="I151" s="3">
        <v>719</v>
      </c>
      <c r="J151" s="2">
        <v>0.9</v>
      </c>
      <c r="K151" s="2">
        <f t="shared" si="8"/>
        <v>287</v>
      </c>
    </row>
    <row r="152" spans="1:11" x14ac:dyDescent="0.4">
      <c r="A152" s="2" t="s">
        <v>387</v>
      </c>
      <c r="B152" s="2" t="s">
        <v>5</v>
      </c>
      <c r="C152" s="4" t="s">
        <v>388</v>
      </c>
      <c r="D152" s="7">
        <f>IF(INT(C152)=0, C152 * 1440, (C152-INT(C152))*1440)</f>
        <v>869.99999999650754</v>
      </c>
      <c r="E152" s="2">
        <v>178</v>
      </c>
      <c r="F152" s="2">
        <f t="shared" si="6"/>
        <v>160</v>
      </c>
      <c r="G152" s="10">
        <f t="shared" si="7"/>
        <v>1043.0000000051223</v>
      </c>
      <c r="H152" s="4" t="s">
        <v>253</v>
      </c>
      <c r="I152" s="3">
        <v>1095</v>
      </c>
      <c r="J152" s="2">
        <v>0.9</v>
      </c>
      <c r="K152" s="2">
        <f t="shared" si="8"/>
        <v>438</v>
      </c>
    </row>
    <row r="153" spans="1:11" x14ac:dyDescent="0.4">
      <c r="A153" s="2" t="s">
        <v>389</v>
      </c>
      <c r="B153" s="2" t="s">
        <v>5</v>
      </c>
      <c r="C153" s="4" t="s">
        <v>388</v>
      </c>
      <c r="D153" s="7">
        <f>IF(INT(C153)=0, C153 * 1440, (C153-INT(C153))*1440)</f>
        <v>869.99999999650754</v>
      </c>
      <c r="E153" s="2">
        <v>178</v>
      </c>
      <c r="F153" s="2">
        <f t="shared" si="6"/>
        <v>160</v>
      </c>
      <c r="G153" s="10">
        <f t="shared" si="7"/>
        <v>1180.0000000011642</v>
      </c>
      <c r="H153" s="4" t="s">
        <v>390</v>
      </c>
      <c r="I153" s="3">
        <v>1142</v>
      </c>
      <c r="J153" s="2">
        <v>0.9</v>
      </c>
      <c r="K153" s="2">
        <f t="shared" si="8"/>
        <v>456</v>
      </c>
    </row>
    <row r="154" spans="1:11" x14ac:dyDescent="0.4">
      <c r="A154" s="2" t="s">
        <v>391</v>
      </c>
      <c r="B154" s="2" t="s">
        <v>24</v>
      </c>
      <c r="C154" s="4" t="s">
        <v>388</v>
      </c>
      <c r="D154" s="7">
        <f>IF(INT(C154)=0, C154 * 1440, (C154-INT(C154))*1440)</f>
        <v>869.99999999650754</v>
      </c>
      <c r="E154" s="2">
        <v>160</v>
      </c>
      <c r="F154" s="2">
        <f t="shared" si="6"/>
        <v>144</v>
      </c>
      <c r="G154" s="10">
        <f t="shared" si="7"/>
        <v>873.99999999906868</v>
      </c>
      <c r="H154" s="4" t="s">
        <v>392</v>
      </c>
      <c r="I154" s="3">
        <v>939</v>
      </c>
      <c r="J154" s="2">
        <v>0.9</v>
      </c>
      <c r="K154" s="2">
        <f t="shared" si="8"/>
        <v>375</v>
      </c>
    </row>
    <row r="155" spans="1:11" x14ac:dyDescent="0.4">
      <c r="A155" s="2" t="s">
        <v>393</v>
      </c>
      <c r="B155" s="2" t="s">
        <v>5</v>
      </c>
      <c r="C155" s="4" t="s">
        <v>319</v>
      </c>
      <c r="D155" s="7">
        <f>IF(INT(C155)=0, C155 * 1440, (C155-INT(C155))*1440)</f>
        <v>875.00000000232831</v>
      </c>
      <c r="E155" s="2">
        <v>178</v>
      </c>
      <c r="F155" s="2">
        <f t="shared" si="6"/>
        <v>160</v>
      </c>
      <c r="G155" s="10">
        <f t="shared" si="7"/>
        <v>902.99999999930151</v>
      </c>
      <c r="H155" s="4" t="s">
        <v>394</v>
      </c>
      <c r="I155" s="3">
        <v>1061</v>
      </c>
      <c r="J155" s="2">
        <v>0.9</v>
      </c>
      <c r="K155" s="2">
        <f t="shared" si="8"/>
        <v>424</v>
      </c>
    </row>
    <row r="156" spans="1:11" x14ac:dyDescent="0.4">
      <c r="A156" s="2" t="s">
        <v>395</v>
      </c>
      <c r="B156" s="2" t="s">
        <v>17</v>
      </c>
      <c r="C156" s="4" t="s">
        <v>319</v>
      </c>
      <c r="D156" s="7">
        <f>IF(INT(C156)=0, C156 * 1440, (C156-INT(C156))*1440)</f>
        <v>875.00000000232831</v>
      </c>
      <c r="E156" s="2">
        <v>286</v>
      </c>
      <c r="F156" s="2">
        <f t="shared" si="6"/>
        <v>257</v>
      </c>
      <c r="G156" s="10">
        <f t="shared" si="7"/>
        <v>885.00000000349246</v>
      </c>
      <c r="H156" s="4" t="s">
        <v>396</v>
      </c>
      <c r="I156" s="3">
        <v>3669</v>
      </c>
      <c r="J156" s="2">
        <v>0.9</v>
      </c>
      <c r="K156" s="2">
        <f t="shared" si="8"/>
        <v>1467</v>
      </c>
    </row>
    <row r="157" spans="1:11" x14ac:dyDescent="0.4">
      <c r="A157" s="2" t="s">
        <v>397</v>
      </c>
      <c r="B157" s="2" t="s">
        <v>84</v>
      </c>
      <c r="C157" s="4" t="s">
        <v>227</v>
      </c>
      <c r="D157" s="7">
        <f>IF(INT(C157)=0, C157 * 1440, (C157-INT(C157))*1440)</f>
        <v>879.99999999767169</v>
      </c>
      <c r="E157" s="2">
        <v>164</v>
      </c>
      <c r="F157" s="2">
        <f t="shared" si="6"/>
        <v>147</v>
      </c>
      <c r="G157" s="10">
        <f t="shared" si="7"/>
        <v>895.00000000465661</v>
      </c>
      <c r="H157" s="4" t="s">
        <v>398</v>
      </c>
      <c r="I157" s="3">
        <v>1661</v>
      </c>
      <c r="J157" s="2">
        <v>0.9</v>
      </c>
      <c r="K157" s="2">
        <f t="shared" si="8"/>
        <v>664</v>
      </c>
    </row>
    <row r="158" spans="1:11" x14ac:dyDescent="0.4">
      <c r="A158" s="2" t="s">
        <v>400</v>
      </c>
      <c r="B158" s="2" t="s">
        <v>274</v>
      </c>
      <c r="C158" s="4" t="s">
        <v>227</v>
      </c>
      <c r="D158" s="7">
        <f>IF(INT(C158)=0, C158 * 1440, (C158-INT(C158))*1440)</f>
        <v>879.99999999767169</v>
      </c>
      <c r="E158" s="2">
        <v>335</v>
      </c>
      <c r="F158" s="2">
        <f t="shared" si="6"/>
        <v>301</v>
      </c>
      <c r="G158" s="10">
        <f t="shared" si="7"/>
        <v>1110.9999999962747</v>
      </c>
      <c r="H158" s="4" t="s">
        <v>401</v>
      </c>
      <c r="I158" s="3">
        <v>784</v>
      </c>
      <c r="J158" s="2">
        <v>0.9</v>
      </c>
      <c r="K158" s="2">
        <f t="shared" si="8"/>
        <v>313</v>
      </c>
    </row>
    <row r="159" spans="1:11" x14ac:dyDescent="0.4">
      <c r="A159" s="2" t="s">
        <v>403</v>
      </c>
      <c r="B159" s="2" t="s">
        <v>31</v>
      </c>
      <c r="C159" s="4" t="s">
        <v>396</v>
      </c>
      <c r="D159" s="7">
        <f>IF(INT(C159)=0, C159 * 1440, (C159-INT(C159))*1440)</f>
        <v>885.00000000349246</v>
      </c>
      <c r="E159" s="2">
        <v>189</v>
      </c>
      <c r="F159" s="2">
        <f t="shared" si="6"/>
        <v>170</v>
      </c>
      <c r="G159" s="10">
        <f t="shared" si="7"/>
        <v>1123.9999999967404</v>
      </c>
      <c r="H159" s="4" t="s">
        <v>385</v>
      </c>
      <c r="I159" s="3">
        <v>712</v>
      </c>
      <c r="J159" s="2">
        <v>0.9</v>
      </c>
      <c r="K159" s="2">
        <f t="shared" si="8"/>
        <v>284</v>
      </c>
    </row>
    <row r="160" spans="1:11" x14ac:dyDescent="0.4">
      <c r="A160" s="2" t="s">
        <v>406</v>
      </c>
      <c r="B160" s="2" t="s">
        <v>72</v>
      </c>
      <c r="C160" s="4" t="s">
        <v>404</v>
      </c>
      <c r="D160" s="7">
        <f>IF(INT(C160)=0, C160 * 1440, (C160-INT(C160))*1440)</f>
        <v>889.99999999883585</v>
      </c>
      <c r="E160" s="2">
        <v>361</v>
      </c>
      <c r="F160" s="2">
        <f t="shared" si="6"/>
        <v>324</v>
      </c>
      <c r="G160" s="10">
        <f t="shared" si="7"/>
        <v>1213.0000000039581</v>
      </c>
      <c r="H160" s="4" t="s">
        <v>407</v>
      </c>
      <c r="I160" s="3">
        <v>728</v>
      </c>
      <c r="J160" s="2">
        <v>0.9</v>
      </c>
      <c r="K160" s="2">
        <f t="shared" si="8"/>
        <v>291</v>
      </c>
    </row>
    <row r="161" spans="1:11" x14ac:dyDescent="0.4">
      <c r="A161" s="2" t="s">
        <v>220</v>
      </c>
      <c r="B161" s="2" t="s">
        <v>42</v>
      </c>
      <c r="C161" s="4" t="s">
        <v>398</v>
      </c>
      <c r="D161" s="7">
        <f>IF(INT(C161)=0, C161 * 1440, (C161-INT(C161))*1440)</f>
        <v>895.00000000465661</v>
      </c>
      <c r="E161" s="2">
        <v>172</v>
      </c>
      <c r="F161" s="2">
        <f t="shared" si="6"/>
        <v>154</v>
      </c>
      <c r="G161" s="10">
        <f t="shared" si="7"/>
        <v>972.00000000419095</v>
      </c>
      <c r="H161" s="4" t="s">
        <v>277</v>
      </c>
      <c r="I161" s="3">
        <v>382</v>
      </c>
      <c r="J161" s="2">
        <v>0.9</v>
      </c>
      <c r="K161" s="2">
        <f t="shared" si="8"/>
        <v>152</v>
      </c>
    </row>
    <row r="162" spans="1:11" x14ac:dyDescent="0.4">
      <c r="A162" s="2" t="s">
        <v>409</v>
      </c>
      <c r="B162" s="2" t="s">
        <v>109</v>
      </c>
      <c r="C162" s="4" t="s">
        <v>398</v>
      </c>
      <c r="D162" s="7">
        <f>IF(INT(C162)=0, C162 * 1440, (C162-INT(C162))*1440)</f>
        <v>895.00000000465661</v>
      </c>
      <c r="E162" s="2">
        <v>138</v>
      </c>
      <c r="F162" s="2">
        <f t="shared" si="6"/>
        <v>124</v>
      </c>
      <c r="G162" s="10">
        <f t="shared" si="7"/>
        <v>1046.999999997206</v>
      </c>
      <c r="H162" s="4" t="s">
        <v>410</v>
      </c>
      <c r="I162" s="3">
        <v>709</v>
      </c>
      <c r="J162" s="2">
        <v>0.9</v>
      </c>
      <c r="K162" s="2">
        <f t="shared" si="8"/>
        <v>283</v>
      </c>
    </row>
    <row r="163" spans="1:11" x14ac:dyDescent="0.4">
      <c r="A163" s="2" t="s">
        <v>411</v>
      </c>
      <c r="B163" s="2" t="s">
        <v>232</v>
      </c>
      <c r="C163" s="4" t="s">
        <v>398</v>
      </c>
      <c r="D163" s="7">
        <f>IF(INT(C163)=0, C163 * 1440, (C163-INT(C163))*1440)</f>
        <v>895.00000000465661</v>
      </c>
      <c r="E163" s="2">
        <v>195</v>
      </c>
      <c r="F163" s="2">
        <f t="shared" si="6"/>
        <v>175</v>
      </c>
      <c r="G163" s="10">
        <f t="shared" si="7"/>
        <v>1071.0000000020955</v>
      </c>
      <c r="H163" s="4" t="s">
        <v>375</v>
      </c>
      <c r="I163" s="3">
        <v>660</v>
      </c>
      <c r="J163" s="2">
        <v>0.9</v>
      </c>
      <c r="K163" s="2">
        <f t="shared" si="8"/>
        <v>264</v>
      </c>
    </row>
    <row r="164" spans="1:11" x14ac:dyDescent="0.4">
      <c r="A164" s="2" t="s">
        <v>414</v>
      </c>
      <c r="B164" s="2" t="s">
        <v>5</v>
      </c>
      <c r="C164" s="4" t="s">
        <v>412</v>
      </c>
      <c r="D164" s="7">
        <f>IF(INT(C164)=0, C164 * 1440, (C164-INT(C164))*1440)</f>
        <v>900</v>
      </c>
      <c r="E164" s="2">
        <v>178</v>
      </c>
      <c r="F164" s="2">
        <f t="shared" si="6"/>
        <v>160</v>
      </c>
      <c r="G164" s="10">
        <f t="shared" si="7"/>
        <v>1059.0000000048894</v>
      </c>
      <c r="H164" s="4" t="s">
        <v>415</v>
      </c>
      <c r="I164" s="3">
        <v>754</v>
      </c>
      <c r="J164" s="2">
        <v>0.9</v>
      </c>
      <c r="K164" s="2">
        <f t="shared" si="8"/>
        <v>301</v>
      </c>
    </row>
    <row r="165" spans="1:11" x14ac:dyDescent="0.4">
      <c r="A165" s="2" t="s">
        <v>416</v>
      </c>
      <c r="B165" s="2" t="s">
        <v>72</v>
      </c>
      <c r="C165" s="4" t="s">
        <v>412</v>
      </c>
      <c r="D165" s="7">
        <f>IF(INT(C165)=0, C165 * 1440, (C165-INT(C165))*1440)</f>
        <v>900</v>
      </c>
      <c r="E165" s="2">
        <v>361</v>
      </c>
      <c r="F165" s="2">
        <f t="shared" si="6"/>
        <v>324</v>
      </c>
      <c r="G165" s="10">
        <f t="shared" si="7"/>
        <v>1127.9999999993015</v>
      </c>
      <c r="H165" s="4" t="s">
        <v>417</v>
      </c>
      <c r="I165" s="3">
        <v>727</v>
      </c>
      <c r="J165" s="2">
        <v>0.9</v>
      </c>
      <c r="K165" s="2">
        <f t="shared" si="8"/>
        <v>290</v>
      </c>
    </row>
    <row r="166" spans="1:11" x14ac:dyDescent="0.4">
      <c r="A166" s="2" t="s">
        <v>292</v>
      </c>
      <c r="B166" s="2" t="s">
        <v>49</v>
      </c>
      <c r="C166" s="4" t="s">
        <v>412</v>
      </c>
      <c r="D166" s="7">
        <f>IF(INT(C166)=0, C166 * 1440, (C166-INT(C166))*1440)</f>
        <v>900</v>
      </c>
      <c r="E166" s="2">
        <v>144</v>
      </c>
      <c r="F166" s="2">
        <f t="shared" si="6"/>
        <v>129</v>
      </c>
      <c r="G166" s="10">
        <f t="shared" si="7"/>
        <v>902.99999999930151</v>
      </c>
      <c r="H166" s="4" t="s">
        <v>394</v>
      </c>
      <c r="I166" s="3">
        <v>902</v>
      </c>
      <c r="J166" s="2">
        <v>0.9</v>
      </c>
      <c r="K166" s="2">
        <f t="shared" si="8"/>
        <v>360</v>
      </c>
    </row>
    <row r="167" spans="1:11" x14ac:dyDescent="0.4">
      <c r="A167" s="2" t="s">
        <v>420</v>
      </c>
      <c r="B167" s="2" t="s">
        <v>5</v>
      </c>
      <c r="C167" s="4" t="s">
        <v>419</v>
      </c>
      <c r="D167" s="7">
        <f>IF(INT(C167)=0, C167 * 1440, (C167-INT(C167))*1440)</f>
        <v>904.99999999534339</v>
      </c>
      <c r="E167" s="2">
        <v>178</v>
      </c>
      <c r="F167" s="2">
        <f t="shared" si="6"/>
        <v>160</v>
      </c>
      <c r="G167" s="10">
        <f t="shared" si="7"/>
        <v>1251.9999999948777</v>
      </c>
      <c r="H167" s="4" t="s">
        <v>421</v>
      </c>
      <c r="I167" s="3">
        <v>834</v>
      </c>
      <c r="J167" s="2">
        <v>0.9</v>
      </c>
      <c r="K167" s="2">
        <f t="shared" si="8"/>
        <v>333</v>
      </c>
    </row>
    <row r="168" spans="1:11" x14ac:dyDescent="0.4">
      <c r="A168" s="2" t="s">
        <v>422</v>
      </c>
      <c r="B168" s="2" t="s">
        <v>24</v>
      </c>
      <c r="C168" s="4" t="s">
        <v>419</v>
      </c>
      <c r="D168" s="7">
        <f>IF(INT(C168)=0, C168 * 1440, (C168-INT(C168))*1440)</f>
        <v>904.99999999534339</v>
      </c>
      <c r="E168" s="2">
        <v>160</v>
      </c>
      <c r="F168" s="2">
        <f t="shared" si="6"/>
        <v>144</v>
      </c>
      <c r="G168" s="10">
        <f t="shared" si="7"/>
        <v>1223.9999999979045</v>
      </c>
      <c r="H168" s="4" t="s">
        <v>423</v>
      </c>
      <c r="I168" s="3">
        <v>1076</v>
      </c>
      <c r="J168" s="2">
        <v>0.9</v>
      </c>
      <c r="K168" s="2">
        <f t="shared" si="8"/>
        <v>430</v>
      </c>
    </row>
    <row r="169" spans="1:11" x14ac:dyDescent="0.4">
      <c r="A169" s="2" t="s">
        <v>99</v>
      </c>
      <c r="B169" s="2" t="s">
        <v>24</v>
      </c>
      <c r="C169" s="4" t="s">
        <v>419</v>
      </c>
      <c r="D169" s="7">
        <f>IF(INT(C169)=0, C169 * 1440, (C169-INT(C169))*1440)</f>
        <v>904.99999999534339</v>
      </c>
      <c r="E169" s="2">
        <v>160</v>
      </c>
      <c r="F169" s="2">
        <f t="shared" si="6"/>
        <v>144</v>
      </c>
      <c r="G169" s="10">
        <f t="shared" si="7"/>
        <v>981.99999999487773</v>
      </c>
      <c r="H169" s="4" t="s">
        <v>424</v>
      </c>
      <c r="I169" s="3">
        <v>230</v>
      </c>
      <c r="J169" s="2">
        <v>0.9</v>
      </c>
      <c r="K169" s="2">
        <f t="shared" si="8"/>
        <v>92</v>
      </c>
    </row>
    <row r="170" spans="1:11" x14ac:dyDescent="0.4">
      <c r="A170" s="2" t="s">
        <v>425</v>
      </c>
      <c r="B170" s="2" t="s">
        <v>42</v>
      </c>
      <c r="C170" s="4" t="s">
        <v>413</v>
      </c>
      <c r="D170" s="7">
        <f>IF(INT(C170)=0, C170 * 1440, (C170-INT(C170))*1440)</f>
        <v>910.00000000116415</v>
      </c>
      <c r="E170" s="2">
        <v>172</v>
      </c>
      <c r="F170" s="2">
        <f t="shared" si="6"/>
        <v>154</v>
      </c>
      <c r="G170" s="10">
        <f t="shared" si="7"/>
        <v>943.00000000395812</v>
      </c>
      <c r="H170" s="4" t="s">
        <v>426</v>
      </c>
      <c r="I170" s="3">
        <v>918</v>
      </c>
      <c r="J170" s="2">
        <v>0.9</v>
      </c>
      <c r="K170" s="2">
        <f t="shared" si="8"/>
        <v>367</v>
      </c>
    </row>
    <row r="171" spans="1:11" x14ac:dyDescent="0.4">
      <c r="A171" s="2" t="s">
        <v>427</v>
      </c>
      <c r="B171" s="2" t="s">
        <v>14</v>
      </c>
      <c r="C171" s="4" t="s">
        <v>413</v>
      </c>
      <c r="D171" s="7">
        <f>IF(INT(C171)=0, C171 * 1440, (C171-INT(C171))*1440)</f>
        <v>910.00000000116415</v>
      </c>
      <c r="E171" s="2">
        <v>314</v>
      </c>
      <c r="F171" s="2">
        <f t="shared" si="6"/>
        <v>282</v>
      </c>
      <c r="G171" s="10">
        <f t="shared" si="7"/>
        <v>1017.000000004191</v>
      </c>
      <c r="H171" s="4" t="s">
        <v>247</v>
      </c>
      <c r="I171" s="3">
        <v>646</v>
      </c>
      <c r="J171" s="2">
        <v>0.9</v>
      </c>
      <c r="K171" s="2">
        <f t="shared" si="8"/>
        <v>258</v>
      </c>
    </row>
    <row r="172" spans="1:11" x14ac:dyDescent="0.4">
      <c r="A172" s="2" t="s">
        <v>428</v>
      </c>
      <c r="B172" s="2" t="s">
        <v>84</v>
      </c>
      <c r="C172" s="4" t="s">
        <v>413</v>
      </c>
      <c r="D172" s="7">
        <f>IF(INT(C172)=0, C172 * 1440, (C172-INT(C172))*1440)</f>
        <v>910.00000000116415</v>
      </c>
      <c r="E172" s="2">
        <v>164</v>
      </c>
      <c r="F172" s="2">
        <f t="shared" si="6"/>
        <v>147</v>
      </c>
      <c r="G172" s="10">
        <f t="shared" si="7"/>
        <v>924.00000000488944</v>
      </c>
      <c r="H172" s="4" t="s">
        <v>305</v>
      </c>
      <c r="I172" s="3">
        <v>1675</v>
      </c>
      <c r="J172" s="2">
        <v>0.9</v>
      </c>
      <c r="K172" s="2">
        <f t="shared" si="8"/>
        <v>670</v>
      </c>
    </row>
    <row r="173" spans="1:11" x14ac:dyDescent="0.4">
      <c r="A173" s="2" t="s">
        <v>429</v>
      </c>
      <c r="B173" s="2" t="s">
        <v>14</v>
      </c>
      <c r="C173" s="4" t="s">
        <v>345</v>
      </c>
      <c r="D173" s="7">
        <f>IF(INT(C173)=0, C173 * 1440, (C173-INT(C173))*1440)</f>
        <v>914.99999999650754</v>
      </c>
      <c r="E173" s="2">
        <v>314</v>
      </c>
      <c r="F173" s="2">
        <f t="shared" si="6"/>
        <v>282</v>
      </c>
      <c r="G173" s="10">
        <f t="shared" si="7"/>
        <v>942.00000000069849</v>
      </c>
      <c r="H173" s="4" t="s">
        <v>384</v>
      </c>
      <c r="I173" s="3">
        <v>771</v>
      </c>
      <c r="J173" s="2">
        <v>0.9</v>
      </c>
      <c r="K173" s="2">
        <f t="shared" si="8"/>
        <v>308</v>
      </c>
    </row>
    <row r="174" spans="1:11" x14ac:dyDescent="0.4">
      <c r="A174" s="2" t="s">
        <v>165</v>
      </c>
      <c r="B174" s="2" t="s">
        <v>37</v>
      </c>
      <c r="C174" s="4" t="s">
        <v>318</v>
      </c>
      <c r="D174" s="7">
        <f>IF(INT(C174)=0, C174 * 1440, (C174-INT(C174))*1440)</f>
        <v>920.00000000232831</v>
      </c>
      <c r="E174" s="2">
        <v>144</v>
      </c>
      <c r="F174" s="2">
        <f t="shared" si="6"/>
        <v>129</v>
      </c>
      <c r="G174" s="10">
        <f t="shared" si="7"/>
        <v>979.99999999883585</v>
      </c>
      <c r="H174" s="4" t="s">
        <v>195</v>
      </c>
      <c r="I174" s="3">
        <v>489</v>
      </c>
      <c r="J174" s="2">
        <v>0.9</v>
      </c>
      <c r="K174" s="2">
        <f t="shared" si="8"/>
        <v>195</v>
      </c>
    </row>
    <row r="175" spans="1:11" x14ac:dyDescent="0.4">
      <c r="A175" s="2" t="s">
        <v>431</v>
      </c>
      <c r="B175" s="2" t="s">
        <v>24</v>
      </c>
      <c r="C175" s="4" t="s">
        <v>318</v>
      </c>
      <c r="D175" s="7">
        <f>IF(INT(C175)=0, C175 * 1440, (C175-INT(C175))*1440)</f>
        <v>920.00000000232831</v>
      </c>
      <c r="E175" s="2">
        <v>160</v>
      </c>
      <c r="F175" s="2">
        <f t="shared" si="6"/>
        <v>144</v>
      </c>
      <c r="G175" s="10">
        <f t="shared" si="7"/>
        <v>929.00000000023283</v>
      </c>
      <c r="H175" s="4" t="s">
        <v>432</v>
      </c>
      <c r="I175" s="3">
        <v>1044</v>
      </c>
      <c r="J175" s="2">
        <v>0.9</v>
      </c>
      <c r="K175" s="2">
        <f t="shared" si="8"/>
        <v>417</v>
      </c>
    </row>
    <row r="176" spans="1:11" x14ac:dyDescent="0.4">
      <c r="A176" s="2" t="s">
        <v>433</v>
      </c>
      <c r="B176" s="2" t="s">
        <v>72</v>
      </c>
      <c r="C176" s="4" t="s">
        <v>279</v>
      </c>
      <c r="D176" s="7">
        <f>IF(INT(C176)=0, C176 * 1440, (C176-INT(C176))*1440)</f>
        <v>930.00000000349246</v>
      </c>
      <c r="E176" s="2">
        <v>361</v>
      </c>
      <c r="F176" s="2">
        <f t="shared" si="6"/>
        <v>324</v>
      </c>
      <c r="G176" s="10">
        <f t="shared" si="7"/>
        <v>1042.0000000018626</v>
      </c>
      <c r="H176" s="4" t="s">
        <v>434</v>
      </c>
      <c r="I176" s="3">
        <v>1099</v>
      </c>
      <c r="J176" s="2">
        <v>0.9</v>
      </c>
      <c r="K176" s="2">
        <f t="shared" si="8"/>
        <v>439</v>
      </c>
    </row>
    <row r="177" spans="1:11" x14ac:dyDescent="0.4">
      <c r="A177" s="2" t="s">
        <v>436</v>
      </c>
      <c r="B177" s="2" t="s">
        <v>184</v>
      </c>
      <c r="C177" s="4" t="s">
        <v>279</v>
      </c>
      <c r="D177" s="7">
        <f>IF(INT(C177)=0, C177 * 1440, (C177-INT(C177))*1440)</f>
        <v>930.00000000349246</v>
      </c>
      <c r="E177" s="2">
        <v>166</v>
      </c>
      <c r="F177" s="2">
        <f t="shared" si="6"/>
        <v>149</v>
      </c>
      <c r="G177" s="10">
        <f t="shared" si="7"/>
        <v>1229.9999999965075</v>
      </c>
      <c r="H177" s="4" t="s">
        <v>437</v>
      </c>
      <c r="I177" s="3">
        <v>1264</v>
      </c>
      <c r="J177" s="2">
        <v>0.9</v>
      </c>
      <c r="K177" s="2">
        <f t="shared" si="8"/>
        <v>505</v>
      </c>
    </row>
    <row r="178" spans="1:11" x14ac:dyDescent="0.4">
      <c r="A178" s="2" t="s">
        <v>438</v>
      </c>
      <c r="B178" s="2" t="s">
        <v>37</v>
      </c>
      <c r="C178" s="4" t="s">
        <v>332</v>
      </c>
      <c r="D178" s="7">
        <f>IF(INT(C178)=0, C178 * 1440, (C178-INT(C178))*1440)</f>
        <v>934.99999999883585</v>
      </c>
      <c r="E178" s="2">
        <v>144</v>
      </c>
      <c r="F178" s="2">
        <f t="shared" si="6"/>
        <v>129</v>
      </c>
      <c r="G178" s="10">
        <f t="shared" si="7"/>
        <v>1142.0000000030268</v>
      </c>
      <c r="H178" s="4" t="s">
        <v>439</v>
      </c>
      <c r="I178" s="3">
        <v>1182</v>
      </c>
      <c r="J178" s="2">
        <v>0.9</v>
      </c>
      <c r="K178" s="2">
        <f t="shared" si="8"/>
        <v>472</v>
      </c>
    </row>
    <row r="179" spans="1:11" x14ac:dyDescent="0.4">
      <c r="A179" s="2" t="s">
        <v>440</v>
      </c>
      <c r="B179" s="2" t="s">
        <v>155</v>
      </c>
      <c r="C179" s="4" t="s">
        <v>332</v>
      </c>
      <c r="D179" s="7">
        <f>IF(INT(C179)=0, C179 * 1440, (C179-INT(C179))*1440)</f>
        <v>934.99999999883585</v>
      </c>
      <c r="E179" s="2">
        <v>189</v>
      </c>
      <c r="F179" s="2">
        <f t="shared" si="6"/>
        <v>170</v>
      </c>
      <c r="G179" s="10">
        <f t="shared" si="7"/>
        <v>939.00000000139698</v>
      </c>
      <c r="H179" s="4" t="s">
        <v>441</v>
      </c>
      <c r="I179" s="3">
        <v>635</v>
      </c>
      <c r="J179" s="2">
        <v>0.9</v>
      </c>
      <c r="K179" s="2">
        <f t="shared" si="8"/>
        <v>254</v>
      </c>
    </row>
    <row r="180" spans="1:11" x14ac:dyDescent="0.4">
      <c r="A180" s="2" t="s">
        <v>443</v>
      </c>
      <c r="B180" s="2" t="s">
        <v>9</v>
      </c>
      <c r="C180" s="4" t="s">
        <v>442</v>
      </c>
      <c r="D180" s="7">
        <f>IF(INT(C180)=0, C180 * 1440, (C180-INT(C180))*1440)</f>
        <v>940.00000000465661</v>
      </c>
      <c r="E180" s="2">
        <v>283</v>
      </c>
      <c r="F180" s="2">
        <f t="shared" si="6"/>
        <v>254</v>
      </c>
      <c r="G180" s="10">
        <f t="shared" si="7"/>
        <v>1197.000000004191</v>
      </c>
      <c r="H180" s="4" t="s">
        <v>444</v>
      </c>
      <c r="I180" s="3">
        <v>784</v>
      </c>
      <c r="J180" s="2">
        <v>0.9</v>
      </c>
      <c r="K180" s="2">
        <f t="shared" si="8"/>
        <v>313</v>
      </c>
    </row>
    <row r="181" spans="1:11" x14ac:dyDescent="0.4">
      <c r="A181" s="2" t="s">
        <v>446</v>
      </c>
      <c r="B181" s="2" t="s">
        <v>37</v>
      </c>
      <c r="C181" s="4" t="s">
        <v>445</v>
      </c>
      <c r="D181" s="7">
        <f>IF(INT(C181)=0, C181 * 1440, (C181-INT(C181))*1440)</f>
        <v>945</v>
      </c>
      <c r="E181" s="2">
        <v>144</v>
      </c>
      <c r="F181" s="2">
        <f t="shared" si="6"/>
        <v>129</v>
      </c>
      <c r="G181" s="10">
        <f t="shared" si="7"/>
        <v>1223.9999999979045</v>
      </c>
      <c r="H181" s="4" t="s">
        <v>423</v>
      </c>
      <c r="I181" s="3">
        <v>879</v>
      </c>
      <c r="J181" s="2">
        <v>0.9</v>
      </c>
      <c r="K181" s="2">
        <f t="shared" si="8"/>
        <v>351</v>
      </c>
    </row>
    <row r="182" spans="1:11" x14ac:dyDescent="0.4">
      <c r="A182" s="2" t="s">
        <v>447</v>
      </c>
      <c r="B182" s="2" t="s">
        <v>274</v>
      </c>
      <c r="C182" s="4" t="s">
        <v>445</v>
      </c>
      <c r="D182" s="7">
        <f>IF(INT(C182)=0, C182 * 1440, (C182-INT(C182))*1440)</f>
        <v>945</v>
      </c>
      <c r="E182" s="2">
        <v>335</v>
      </c>
      <c r="F182" s="2">
        <f t="shared" si="6"/>
        <v>301</v>
      </c>
      <c r="G182" s="10">
        <f t="shared" si="7"/>
        <v>953.00000000512227</v>
      </c>
      <c r="H182" s="4" t="s">
        <v>275</v>
      </c>
      <c r="I182" s="3">
        <v>1326</v>
      </c>
      <c r="J182" s="2">
        <v>0.9</v>
      </c>
      <c r="K182" s="2">
        <f t="shared" si="8"/>
        <v>530</v>
      </c>
    </row>
    <row r="183" spans="1:11" x14ac:dyDescent="0.4">
      <c r="A183" s="2" t="s">
        <v>448</v>
      </c>
      <c r="B183" s="2" t="s">
        <v>24</v>
      </c>
      <c r="C183" s="4" t="s">
        <v>445</v>
      </c>
      <c r="D183" s="7">
        <f>IF(INT(C183)=0, C183 * 1440, (C183-INT(C183))*1440)</f>
        <v>945</v>
      </c>
      <c r="E183" s="2">
        <v>160</v>
      </c>
      <c r="F183" s="2">
        <f t="shared" si="6"/>
        <v>144</v>
      </c>
      <c r="G183" s="10">
        <f t="shared" si="7"/>
        <v>1005.9999999997672</v>
      </c>
      <c r="H183" s="4" t="s">
        <v>336</v>
      </c>
      <c r="I183" s="3">
        <v>1640</v>
      </c>
      <c r="J183" s="2">
        <v>0.9</v>
      </c>
      <c r="K183" s="2">
        <f t="shared" si="8"/>
        <v>656</v>
      </c>
    </row>
    <row r="184" spans="1:11" x14ac:dyDescent="0.4">
      <c r="A184" s="2" t="s">
        <v>449</v>
      </c>
      <c r="B184" s="2" t="s">
        <v>20</v>
      </c>
      <c r="C184" s="4" t="s">
        <v>196</v>
      </c>
      <c r="D184" s="7">
        <f>IF(INT(C184)=0, C184 * 1440, (C184-INT(C184))*1440)</f>
        <v>955.00000000116415</v>
      </c>
      <c r="E184" s="2">
        <v>297</v>
      </c>
      <c r="F184" s="2">
        <f t="shared" si="6"/>
        <v>267</v>
      </c>
      <c r="G184" s="10">
        <f t="shared" si="7"/>
        <v>1061.0000000009313</v>
      </c>
      <c r="H184" s="4" t="s">
        <v>450</v>
      </c>
      <c r="I184" s="3">
        <v>2032</v>
      </c>
      <c r="J184" s="2">
        <v>0.9</v>
      </c>
      <c r="K184" s="2">
        <f t="shared" si="8"/>
        <v>812</v>
      </c>
    </row>
    <row r="185" spans="1:11" x14ac:dyDescent="0.4">
      <c r="A185" s="2" t="s">
        <v>451</v>
      </c>
      <c r="B185" s="2" t="s">
        <v>31</v>
      </c>
      <c r="C185" s="4" t="s">
        <v>196</v>
      </c>
      <c r="D185" s="7">
        <f>IF(INT(C185)=0, C185 * 1440, (C185-INT(C185))*1440)</f>
        <v>955.00000000116415</v>
      </c>
      <c r="E185" s="2">
        <v>189</v>
      </c>
      <c r="F185" s="2">
        <f t="shared" si="6"/>
        <v>170</v>
      </c>
      <c r="G185" s="10">
        <f t="shared" si="7"/>
        <v>988.00000000395812</v>
      </c>
      <c r="H185" s="4" t="s">
        <v>452</v>
      </c>
      <c r="I185" s="3">
        <v>758</v>
      </c>
      <c r="J185" s="2">
        <v>0.9</v>
      </c>
      <c r="K185" s="2">
        <f t="shared" si="8"/>
        <v>303</v>
      </c>
    </row>
    <row r="186" spans="1:11" x14ac:dyDescent="0.4">
      <c r="A186" s="2" t="s">
        <v>453</v>
      </c>
      <c r="B186" s="2" t="s">
        <v>5</v>
      </c>
      <c r="C186" s="4" t="s">
        <v>196</v>
      </c>
      <c r="D186" s="7">
        <f>IF(INT(C186)=0, C186 * 1440, (C186-INT(C186))*1440)</f>
        <v>955.00000000116415</v>
      </c>
      <c r="E186" s="2">
        <v>178</v>
      </c>
      <c r="F186" s="2">
        <f t="shared" si="6"/>
        <v>160</v>
      </c>
      <c r="G186" s="10">
        <f t="shared" si="7"/>
        <v>955.45000000158325</v>
      </c>
      <c r="H186" s="4" t="s">
        <v>454</v>
      </c>
      <c r="I186" s="3">
        <v>730</v>
      </c>
      <c r="J186" s="2">
        <v>0.9</v>
      </c>
      <c r="K186" s="2">
        <f t="shared" si="8"/>
        <v>292</v>
      </c>
    </row>
    <row r="187" spans="1:11" x14ac:dyDescent="0.4">
      <c r="A187" s="2" t="s">
        <v>456</v>
      </c>
      <c r="B187" s="2" t="s">
        <v>31</v>
      </c>
      <c r="C187" s="4" t="s">
        <v>378</v>
      </c>
      <c r="D187" s="7">
        <f>IF(INT(C187)=0, C187 * 1440, (C187-INT(C187))*1440)</f>
        <v>959.99999999650754</v>
      </c>
      <c r="E187" s="2">
        <v>189</v>
      </c>
      <c r="F187" s="2">
        <f t="shared" si="6"/>
        <v>170</v>
      </c>
      <c r="G187" s="10">
        <f t="shared" si="7"/>
        <v>1229.0000000037253</v>
      </c>
      <c r="H187" s="4" t="s">
        <v>457</v>
      </c>
      <c r="I187" s="3">
        <v>1159</v>
      </c>
      <c r="J187" s="2">
        <v>0.9</v>
      </c>
      <c r="K187" s="2">
        <f t="shared" si="8"/>
        <v>463</v>
      </c>
    </row>
    <row r="188" spans="1:11" x14ac:dyDescent="0.4">
      <c r="A188" s="2" t="s">
        <v>458</v>
      </c>
      <c r="B188" s="2" t="s">
        <v>11</v>
      </c>
      <c r="C188" s="4" t="s">
        <v>378</v>
      </c>
      <c r="D188" s="7">
        <f>IF(INT(C188)=0, C188 * 1440, (C188-INT(C188))*1440)</f>
        <v>959.99999999650754</v>
      </c>
      <c r="E188" s="2">
        <v>276</v>
      </c>
      <c r="F188" s="2">
        <f t="shared" si="6"/>
        <v>248</v>
      </c>
      <c r="G188" s="10">
        <f t="shared" si="7"/>
        <v>1026.0000000020955</v>
      </c>
      <c r="H188" s="4" t="s">
        <v>249</v>
      </c>
      <c r="I188" s="3">
        <v>1024</v>
      </c>
      <c r="J188" s="2">
        <v>0.9</v>
      </c>
      <c r="K188" s="2">
        <f t="shared" si="8"/>
        <v>409</v>
      </c>
    </row>
    <row r="189" spans="1:11" x14ac:dyDescent="0.4">
      <c r="A189" s="2" t="s">
        <v>459</v>
      </c>
      <c r="B189" s="2" t="s">
        <v>24</v>
      </c>
      <c r="C189" s="4" t="s">
        <v>378</v>
      </c>
      <c r="D189" s="7">
        <f>IF(INT(C189)=0, C189 * 1440, (C189-INT(C189))*1440)</f>
        <v>959.99999999650754</v>
      </c>
      <c r="E189" s="2">
        <v>160</v>
      </c>
      <c r="F189" s="2">
        <f t="shared" si="6"/>
        <v>144</v>
      </c>
      <c r="G189" s="10">
        <f t="shared" si="7"/>
        <v>965.99999999511056</v>
      </c>
      <c r="H189" s="4" t="s">
        <v>460</v>
      </c>
      <c r="I189" s="3">
        <v>984</v>
      </c>
      <c r="J189" s="2">
        <v>0.9</v>
      </c>
      <c r="K189" s="2">
        <f t="shared" si="8"/>
        <v>393</v>
      </c>
    </row>
    <row r="190" spans="1:11" x14ac:dyDescent="0.4">
      <c r="A190" s="2" t="s">
        <v>461</v>
      </c>
      <c r="B190" s="2" t="s">
        <v>14</v>
      </c>
      <c r="C190" s="4" t="s">
        <v>173</v>
      </c>
      <c r="D190" s="7">
        <f>IF(INT(C190)=0, C190 * 1440, (C190-INT(C190))*1440)</f>
        <v>965.00000000232831</v>
      </c>
      <c r="E190" s="2">
        <v>314</v>
      </c>
      <c r="F190" s="2">
        <f t="shared" si="6"/>
        <v>282</v>
      </c>
      <c r="G190" s="10">
        <f t="shared" si="7"/>
        <v>1299.000000001397</v>
      </c>
      <c r="H190" s="4" t="s">
        <v>462</v>
      </c>
      <c r="I190" s="3">
        <v>1041</v>
      </c>
      <c r="J190" s="2">
        <v>0.9</v>
      </c>
      <c r="K190" s="2">
        <f t="shared" si="8"/>
        <v>416</v>
      </c>
    </row>
    <row r="191" spans="1:11" x14ac:dyDescent="0.4">
      <c r="A191" s="2" t="s">
        <v>466</v>
      </c>
      <c r="B191" s="2" t="s">
        <v>37</v>
      </c>
      <c r="C191" s="4" t="s">
        <v>310</v>
      </c>
      <c r="D191" s="7">
        <f>IF(INT(C191)=0, C191 * 1440, (C191-INT(C191))*1440)</f>
        <v>975.00000000349246</v>
      </c>
      <c r="E191" s="2">
        <v>144</v>
      </c>
      <c r="F191" s="2">
        <f t="shared" si="6"/>
        <v>129</v>
      </c>
      <c r="G191" s="10">
        <f t="shared" si="7"/>
        <v>1042.0000000018626</v>
      </c>
      <c r="H191" s="4" t="s">
        <v>434</v>
      </c>
      <c r="I191" s="3">
        <v>1183</v>
      </c>
      <c r="J191" s="2">
        <v>0.9</v>
      </c>
      <c r="K191" s="2">
        <f t="shared" si="8"/>
        <v>473</v>
      </c>
    </row>
    <row r="192" spans="1:11" x14ac:dyDescent="0.4">
      <c r="A192" s="2" t="s">
        <v>469</v>
      </c>
      <c r="B192" s="2" t="s">
        <v>5</v>
      </c>
      <c r="C192" s="4" t="s">
        <v>467</v>
      </c>
      <c r="D192" s="7">
        <f>IF(INT(C192)=0, C192 * 1440, (C192-INT(C192))*1440)</f>
        <v>985.00000000465661</v>
      </c>
      <c r="E192" s="2">
        <v>178</v>
      </c>
      <c r="F192" s="2">
        <f t="shared" si="6"/>
        <v>160</v>
      </c>
      <c r="G192" s="10">
        <f t="shared" si="7"/>
        <v>1248.000000002794</v>
      </c>
      <c r="H192" s="4" t="s">
        <v>470</v>
      </c>
      <c r="I192" s="3">
        <v>1036</v>
      </c>
      <c r="J192" s="2">
        <v>0.9</v>
      </c>
      <c r="K192" s="2">
        <f t="shared" si="8"/>
        <v>414</v>
      </c>
    </row>
    <row r="193" spans="1:11" x14ac:dyDescent="0.4">
      <c r="A193" s="2" t="s">
        <v>471</v>
      </c>
      <c r="B193" s="2" t="s">
        <v>5</v>
      </c>
      <c r="C193" s="4" t="s">
        <v>467</v>
      </c>
      <c r="D193" s="7">
        <f>IF(INT(C193)=0, C193 * 1440, (C193-INT(C193))*1440)</f>
        <v>985.00000000465661</v>
      </c>
      <c r="E193" s="2">
        <v>178</v>
      </c>
      <c r="F193" s="2">
        <f t="shared" si="6"/>
        <v>160</v>
      </c>
      <c r="G193" s="10">
        <f t="shared" si="7"/>
        <v>1019.0000000002328</v>
      </c>
      <c r="H193" s="4" t="s">
        <v>472</v>
      </c>
      <c r="I193" s="3">
        <v>386</v>
      </c>
      <c r="J193" s="2">
        <v>0.9</v>
      </c>
      <c r="K193" s="2">
        <f t="shared" si="8"/>
        <v>154</v>
      </c>
    </row>
    <row r="194" spans="1:11" x14ac:dyDescent="0.4">
      <c r="A194" s="2" t="s">
        <v>475</v>
      </c>
      <c r="B194" s="2" t="s">
        <v>11</v>
      </c>
      <c r="C194" s="4" t="s">
        <v>141</v>
      </c>
      <c r="D194" s="7">
        <f>IF(INT(C194)=0, C194 * 1440, (C194-INT(C194))*1440)</f>
        <v>990</v>
      </c>
      <c r="E194" s="2">
        <v>276</v>
      </c>
      <c r="F194" s="2">
        <f t="shared" si="6"/>
        <v>248</v>
      </c>
      <c r="G194" s="10">
        <f t="shared" si="7"/>
        <v>1156.9999999995343</v>
      </c>
      <c r="H194" s="4" t="s">
        <v>476</v>
      </c>
      <c r="I194" s="3">
        <v>1099</v>
      </c>
      <c r="J194" s="2">
        <v>0.9</v>
      </c>
      <c r="K194" s="2">
        <f t="shared" si="8"/>
        <v>439</v>
      </c>
    </row>
    <row r="195" spans="1:11" x14ac:dyDescent="0.4">
      <c r="A195" s="2" t="s">
        <v>478</v>
      </c>
      <c r="B195" s="2" t="s">
        <v>24</v>
      </c>
      <c r="C195" s="4" t="s">
        <v>296</v>
      </c>
      <c r="D195" s="7">
        <f>IF(INT(C195)=0, C195 * 1440, (C195-INT(C195))*1440)</f>
        <v>994.99999999534339</v>
      </c>
      <c r="E195" s="2">
        <v>160</v>
      </c>
      <c r="F195" s="2">
        <f t="shared" ref="F195:F258" si="9">INT(E195*J195)</f>
        <v>144</v>
      </c>
      <c r="G195" s="10">
        <f t="shared" ref="G195:G258" si="10">IF(INT(H195)=0, H195 * 1440, (H195-INT(H195))*1440)</f>
        <v>1201.9999999995343</v>
      </c>
      <c r="H195" s="4" t="s">
        <v>479</v>
      </c>
      <c r="I195" s="3">
        <v>952</v>
      </c>
      <c r="J195" s="2">
        <v>0.9</v>
      </c>
      <c r="K195" s="2">
        <f t="shared" ref="K195:K258" si="11">INT(I195*0.4)</f>
        <v>380</v>
      </c>
    </row>
    <row r="196" spans="1:11" x14ac:dyDescent="0.4">
      <c r="A196" s="2" t="s">
        <v>482</v>
      </c>
      <c r="B196" s="2" t="s">
        <v>483</v>
      </c>
      <c r="C196" s="4" t="s">
        <v>296</v>
      </c>
      <c r="D196" s="7">
        <f>IF(INT(C196)=0, C196 * 1440, (C196-INT(C196))*1440)</f>
        <v>994.99999999534339</v>
      </c>
      <c r="E196" s="2">
        <v>195</v>
      </c>
      <c r="F196" s="2">
        <f t="shared" si="9"/>
        <v>175</v>
      </c>
      <c r="G196" s="10">
        <f t="shared" si="10"/>
        <v>995.99999999860302</v>
      </c>
      <c r="H196" s="4" t="s">
        <v>480</v>
      </c>
      <c r="I196" s="3">
        <v>1256</v>
      </c>
      <c r="J196" s="2">
        <v>0.9</v>
      </c>
      <c r="K196" s="2">
        <f t="shared" si="11"/>
        <v>502</v>
      </c>
    </row>
    <row r="197" spans="1:11" x14ac:dyDescent="0.4">
      <c r="A197" s="2" t="s">
        <v>484</v>
      </c>
      <c r="B197" s="2" t="s">
        <v>45</v>
      </c>
      <c r="C197" s="4" t="s">
        <v>485</v>
      </c>
      <c r="D197" s="7">
        <f>IF(INT(C197)=0, C197 * 1440, (C197-INT(C197))*1440)</f>
        <v>1000.0000000011642</v>
      </c>
      <c r="E197" s="2">
        <v>152</v>
      </c>
      <c r="F197" s="2">
        <f t="shared" si="9"/>
        <v>136</v>
      </c>
      <c r="G197" s="10">
        <f t="shared" si="10"/>
        <v>1264.9999999953434</v>
      </c>
      <c r="H197" s="4" t="s">
        <v>486</v>
      </c>
      <c r="I197" s="3">
        <v>785</v>
      </c>
      <c r="J197" s="2">
        <v>0.9</v>
      </c>
      <c r="K197" s="2">
        <f t="shared" si="11"/>
        <v>314</v>
      </c>
    </row>
    <row r="198" spans="1:11" x14ac:dyDescent="0.4">
      <c r="A198" s="2" t="s">
        <v>487</v>
      </c>
      <c r="B198" s="2" t="s">
        <v>5</v>
      </c>
      <c r="C198" s="4" t="s">
        <v>485</v>
      </c>
      <c r="D198" s="7">
        <f>IF(INT(C198)=0, C198 * 1440, (C198-INT(C198))*1440)</f>
        <v>1000.0000000011642</v>
      </c>
      <c r="E198" s="2">
        <v>178</v>
      </c>
      <c r="F198" s="2">
        <f t="shared" si="9"/>
        <v>160</v>
      </c>
      <c r="G198" s="10">
        <f t="shared" si="10"/>
        <v>1129.3166666699108</v>
      </c>
      <c r="H198" s="4" t="s">
        <v>488</v>
      </c>
      <c r="I198" s="3">
        <v>1159</v>
      </c>
      <c r="J198" s="2">
        <v>0.9</v>
      </c>
      <c r="K198" s="2">
        <f t="shared" si="11"/>
        <v>463</v>
      </c>
    </row>
    <row r="199" spans="1:11" x14ac:dyDescent="0.4">
      <c r="A199" s="2" t="s">
        <v>489</v>
      </c>
      <c r="B199" s="2" t="s">
        <v>24</v>
      </c>
      <c r="C199" s="4" t="s">
        <v>485</v>
      </c>
      <c r="D199" s="7">
        <f>IF(INT(C199)=0, C199 * 1440, (C199-INT(C199))*1440)</f>
        <v>1000.0000000011642</v>
      </c>
      <c r="E199" s="2">
        <v>160</v>
      </c>
      <c r="F199" s="2">
        <f t="shared" si="9"/>
        <v>144</v>
      </c>
      <c r="G199" s="10">
        <f t="shared" si="10"/>
        <v>1120.9999999974389</v>
      </c>
      <c r="H199" s="4" t="s">
        <v>490</v>
      </c>
      <c r="I199" s="3">
        <v>1727</v>
      </c>
      <c r="J199" s="2">
        <v>0.9</v>
      </c>
      <c r="K199" s="2">
        <f t="shared" si="11"/>
        <v>690</v>
      </c>
    </row>
    <row r="200" spans="1:11" x14ac:dyDescent="0.4">
      <c r="A200" s="2" t="s">
        <v>492</v>
      </c>
      <c r="B200" s="2" t="s">
        <v>72</v>
      </c>
      <c r="C200" s="4" t="s">
        <v>308</v>
      </c>
      <c r="D200" s="7">
        <f>IF(INT(C200)=0, C200 * 1440, (C200-INT(C200))*1440)</f>
        <v>1010.0000000023283</v>
      </c>
      <c r="E200" s="2">
        <v>361</v>
      </c>
      <c r="F200" s="2">
        <f t="shared" si="9"/>
        <v>324</v>
      </c>
      <c r="G200" s="10">
        <f t="shared" si="10"/>
        <v>1278.9999999990687</v>
      </c>
      <c r="H200" s="4" t="s">
        <v>493</v>
      </c>
      <c r="I200" s="3">
        <v>728</v>
      </c>
      <c r="J200" s="2">
        <v>0.9</v>
      </c>
      <c r="K200" s="2">
        <f t="shared" si="11"/>
        <v>291</v>
      </c>
    </row>
    <row r="201" spans="1:11" x14ac:dyDescent="0.4">
      <c r="A201" s="2" t="s">
        <v>495</v>
      </c>
      <c r="B201" s="2" t="s">
        <v>31</v>
      </c>
      <c r="C201" s="4" t="s">
        <v>408</v>
      </c>
      <c r="D201" s="7">
        <f>IF(INT(C201)=0, C201 * 1440, (C201-INT(C201))*1440)</f>
        <v>1014.9999999976717</v>
      </c>
      <c r="E201" s="2">
        <v>189</v>
      </c>
      <c r="F201" s="2">
        <f t="shared" si="9"/>
        <v>170</v>
      </c>
      <c r="G201" s="10">
        <f t="shared" si="10"/>
        <v>1027.9999999981374</v>
      </c>
      <c r="H201" s="4" t="s">
        <v>328</v>
      </c>
      <c r="I201" s="3">
        <v>785</v>
      </c>
      <c r="J201" s="2">
        <v>0.9</v>
      </c>
      <c r="K201" s="2">
        <f t="shared" si="11"/>
        <v>314</v>
      </c>
    </row>
    <row r="202" spans="1:11" x14ac:dyDescent="0.4">
      <c r="A202" s="2" t="s">
        <v>497</v>
      </c>
      <c r="B202" s="2" t="s">
        <v>31</v>
      </c>
      <c r="C202" s="4" t="s">
        <v>498</v>
      </c>
      <c r="D202" s="7">
        <f>IF(INT(C202)=0, C202 * 1440, (C202-INT(C202))*1440)</f>
        <v>1020.0000000034925</v>
      </c>
      <c r="E202" s="2">
        <v>189</v>
      </c>
      <c r="F202" s="2">
        <f t="shared" si="9"/>
        <v>170</v>
      </c>
      <c r="G202" s="10">
        <f t="shared" si="10"/>
        <v>161.00000000093132</v>
      </c>
      <c r="H202" s="4" t="s">
        <v>499</v>
      </c>
      <c r="I202" s="3">
        <v>1676</v>
      </c>
      <c r="J202" s="2">
        <v>0.9</v>
      </c>
      <c r="K202" s="2">
        <f t="shared" si="11"/>
        <v>670</v>
      </c>
    </row>
    <row r="203" spans="1:11" x14ac:dyDescent="0.4">
      <c r="A203" s="2" t="s">
        <v>500</v>
      </c>
      <c r="B203" s="2" t="s">
        <v>274</v>
      </c>
      <c r="C203" s="4" t="s">
        <v>498</v>
      </c>
      <c r="D203" s="7">
        <f>IF(INT(C203)=0, C203 * 1440, (C203-INT(C203))*1440)</f>
        <v>1020.0000000034925</v>
      </c>
      <c r="E203" s="2">
        <v>335</v>
      </c>
      <c r="F203" s="2">
        <f t="shared" si="9"/>
        <v>301</v>
      </c>
      <c r="G203" s="10">
        <f t="shared" si="10"/>
        <v>1072.9999999981374</v>
      </c>
      <c r="H203" s="4" t="s">
        <v>501</v>
      </c>
      <c r="I203" s="3">
        <v>743</v>
      </c>
      <c r="J203" s="2">
        <v>0.9</v>
      </c>
      <c r="K203" s="2">
        <f t="shared" si="11"/>
        <v>297</v>
      </c>
    </row>
    <row r="204" spans="1:11" x14ac:dyDescent="0.4">
      <c r="A204" s="2" t="s">
        <v>503</v>
      </c>
      <c r="B204" s="2" t="s">
        <v>109</v>
      </c>
      <c r="C204" s="4" t="s">
        <v>498</v>
      </c>
      <c r="D204" s="7">
        <f>IF(INT(C204)=0, C204 * 1440, (C204-INT(C204))*1440)</f>
        <v>1020.0000000034925</v>
      </c>
      <c r="E204" s="2">
        <v>138</v>
      </c>
      <c r="F204" s="2">
        <f t="shared" si="9"/>
        <v>124</v>
      </c>
      <c r="G204" s="10">
        <f t="shared" si="10"/>
        <v>1125</v>
      </c>
      <c r="H204" s="4" t="s">
        <v>286</v>
      </c>
      <c r="I204" s="3">
        <v>683</v>
      </c>
      <c r="J204" s="2">
        <v>0.9</v>
      </c>
      <c r="K204" s="2">
        <f t="shared" si="11"/>
        <v>273</v>
      </c>
    </row>
    <row r="205" spans="1:11" x14ac:dyDescent="0.4">
      <c r="A205" s="2" t="s">
        <v>505</v>
      </c>
      <c r="B205" s="2" t="s">
        <v>5</v>
      </c>
      <c r="C205" s="4" t="s">
        <v>504</v>
      </c>
      <c r="D205" s="7">
        <f>IF(INT(C205)=0, C205 * 1440, (C205-INT(C205))*1440)</f>
        <v>1024.9999999988358</v>
      </c>
      <c r="E205" s="2">
        <v>178</v>
      </c>
      <c r="F205" s="2">
        <f t="shared" si="9"/>
        <v>160</v>
      </c>
      <c r="G205" s="10">
        <f t="shared" si="10"/>
        <v>1238.0000000016298</v>
      </c>
      <c r="H205" s="4" t="s">
        <v>506</v>
      </c>
      <c r="I205" s="3">
        <v>552</v>
      </c>
      <c r="J205" s="2">
        <v>0.9</v>
      </c>
      <c r="K205" s="2">
        <f t="shared" si="11"/>
        <v>220</v>
      </c>
    </row>
    <row r="206" spans="1:11" x14ac:dyDescent="0.4">
      <c r="A206" s="2" t="s">
        <v>509</v>
      </c>
      <c r="B206" s="2" t="s">
        <v>45</v>
      </c>
      <c r="C206" s="4" t="s">
        <v>477</v>
      </c>
      <c r="D206" s="7">
        <f>IF(INT(C206)=0, C206 * 1440, (C206-INT(C206))*1440)</f>
        <v>1035</v>
      </c>
      <c r="E206" s="2">
        <v>152</v>
      </c>
      <c r="F206" s="2">
        <f t="shared" si="9"/>
        <v>136</v>
      </c>
      <c r="G206" s="10">
        <f t="shared" si="10"/>
        <v>1039.0000000025611</v>
      </c>
      <c r="H206" s="4" t="s">
        <v>303</v>
      </c>
      <c r="I206" s="3">
        <v>694</v>
      </c>
      <c r="J206" s="2">
        <v>0.9</v>
      </c>
      <c r="K206" s="2">
        <f t="shared" si="11"/>
        <v>277</v>
      </c>
    </row>
    <row r="207" spans="1:11" x14ac:dyDescent="0.4">
      <c r="A207" s="2" t="s">
        <v>512</v>
      </c>
      <c r="B207" s="2" t="s">
        <v>9</v>
      </c>
      <c r="C207" s="4" t="s">
        <v>477</v>
      </c>
      <c r="D207" s="7">
        <f>IF(INT(C207)=0, C207 * 1440, (C207-INT(C207))*1440)</f>
        <v>1035</v>
      </c>
      <c r="E207" s="2">
        <v>283</v>
      </c>
      <c r="F207" s="2">
        <f t="shared" si="9"/>
        <v>254</v>
      </c>
      <c r="G207" s="10">
        <f t="shared" si="10"/>
        <v>1097.0000000030268</v>
      </c>
      <c r="H207" s="4" t="s">
        <v>507</v>
      </c>
      <c r="I207" s="3">
        <v>3589</v>
      </c>
      <c r="J207" s="2">
        <v>0.9</v>
      </c>
      <c r="K207" s="2">
        <f t="shared" si="11"/>
        <v>1435</v>
      </c>
    </row>
    <row r="208" spans="1:11" x14ac:dyDescent="0.4">
      <c r="A208" s="2" t="s">
        <v>513</v>
      </c>
      <c r="B208" s="2" t="s">
        <v>24</v>
      </c>
      <c r="C208" s="4" t="s">
        <v>216</v>
      </c>
      <c r="D208" s="7">
        <f>IF(INT(C208)=0, C208 * 1440, (C208-INT(C208))*1440)</f>
        <v>1039.9999999953434</v>
      </c>
      <c r="E208" s="2">
        <v>160</v>
      </c>
      <c r="F208" s="2">
        <f t="shared" si="9"/>
        <v>144</v>
      </c>
      <c r="G208" s="10">
        <f t="shared" si="10"/>
        <v>1252.9999999981374</v>
      </c>
      <c r="H208" s="4" t="s">
        <v>511</v>
      </c>
      <c r="I208" s="3">
        <v>524</v>
      </c>
      <c r="J208" s="2">
        <v>0.9</v>
      </c>
      <c r="K208" s="2">
        <f t="shared" si="11"/>
        <v>209</v>
      </c>
    </row>
    <row r="209" spans="1:11" x14ac:dyDescent="0.4">
      <c r="A209" s="2" t="s">
        <v>514</v>
      </c>
      <c r="B209" s="2" t="s">
        <v>45</v>
      </c>
      <c r="C209" s="4" t="s">
        <v>216</v>
      </c>
      <c r="D209" s="7">
        <f>IF(INT(C209)=0, C209 * 1440, (C209-INT(C209))*1440)</f>
        <v>1039.9999999953434</v>
      </c>
      <c r="E209" s="2">
        <v>152</v>
      </c>
      <c r="F209" s="2">
        <f t="shared" si="9"/>
        <v>136</v>
      </c>
      <c r="G209" s="10">
        <f t="shared" si="10"/>
        <v>1215</v>
      </c>
      <c r="H209" s="4" t="s">
        <v>515</v>
      </c>
      <c r="I209" s="3">
        <v>1344</v>
      </c>
      <c r="J209" s="2">
        <v>0.9</v>
      </c>
      <c r="K209" s="2">
        <f t="shared" si="11"/>
        <v>537</v>
      </c>
    </row>
    <row r="210" spans="1:11" x14ac:dyDescent="0.4">
      <c r="A210" s="2" t="s">
        <v>519</v>
      </c>
      <c r="B210" s="2" t="s">
        <v>14</v>
      </c>
      <c r="C210" s="4" t="s">
        <v>517</v>
      </c>
      <c r="D210" s="7">
        <f>IF(INT(C210)=0, C210 * 1440, (C210-INT(C210))*1440)</f>
        <v>1049.9999999965075</v>
      </c>
      <c r="E210" s="2">
        <v>314</v>
      </c>
      <c r="F210" s="2">
        <f t="shared" si="9"/>
        <v>282</v>
      </c>
      <c r="G210" s="10">
        <f t="shared" si="10"/>
        <v>1052.0000000030268</v>
      </c>
      <c r="H210" s="4" t="s">
        <v>224</v>
      </c>
      <c r="I210" s="3">
        <v>974</v>
      </c>
      <c r="J210" s="2">
        <v>0.9</v>
      </c>
      <c r="K210" s="2">
        <f t="shared" si="11"/>
        <v>389</v>
      </c>
    </row>
    <row r="211" spans="1:11" x14ac:dyDescent="0.4">
      <c r="A211" s="2" t="s">
        <v>520</v>
      </c>
      <c r="B211" s="2" t="s">
        <v>274</v>
      </c>
      <c r="C211" s="4" t="s">
        <v>517</v>
      </c>
      <c r="D211" s="7">
        <f>IF(INT(C211)=0, C211 * 1440, (C211-INT(C211))*1440)</f>
        <v>1049.9999999965075</v>
      </c>
      <c r="E211" s="2">
        <v>335</v>
      </c>
      <c r="F211" s="2">
        <f t="shared" si="9"/>
        <v>301</v>
      </c>
      <c r="G211" s="10">
        <f t="shared" si="10"/>
        <v>1050.9999999997672</v>
      </c>
      <c r="H211" s="4" t="s">
        <v>463</v>
      </c>
      <c r="I211" s="3">
        <v>1477</v>
      </c>
      <c r="J211" s="2">
        <v>0.9</v>
      </c>
      <c r="K211" s="2">
        <f t="shared" si="11"/>
        <v>590</v>
      </c>
    </row>
    <row r="212" spans="1:11" x14ac:dyDescent="0.4">
      <c r="A212" s="2" t="s">
        <v>521</v>
      </c>
      <c r="B212" s="2" t="s">
        <v>42</v>
      </c>
      <c r="C212" s="4" t="s">
        <v>517</v>
      </c>
      <c r="D212" s="7">
        <f>IF(INT(C212)=0, C212 * 1440, (C212-INT(C212))*1440)</f>
        <v>1049.9999999965075</v>
      </c>
      <c r="E212" s="2">
        <v>172</v>
      </c>
      <c r="F212" s="2">
        <f t="shared" si="9"/>
        <v>154</v>
      </c>
      <c r="G212" s="10">
        <f t="shared" si="10"/>
        <v>1104.9999999976717</v>
      </c>
      <c r="H212" s="4" t="s">
        <v>522</v>
      </c>
      <c r="I212" s="3">
        <v>456</v>
      </c>
      <c r="J212" s="2">
        <v>0.9</v>
      </c>
      <c r="K212" s="2">
        <f t="shared" si="11"/>
        <v>182</v>
      </c>
    </row>
    <row r="213" spans="1:11" x14ac:dyDescent="0.4">
      <c r="A213" s="2" t="s">
        <v>523</v>
      </c>
      <c r="B213" s="2" t="s">
        <v>24</v>
      </c>
      <c r="C213" s="4" t="s">
        <v>517</v>
      </c>
      <c r="D213" s="7">
        <f>IF(INT(C213)=0, C213 * 1440, (C213-INT(C213))*1440)</f>
        <v>1049.9999999965075</v>
      </c>
      <c r="E213" s="2">
        <v>160</v>
      </c>
      <c r="F213" s="2">
        <f t="shared" si="9"/>
        <v>144</v>
      </c>
      <c r="G213" s="10">
        <f t="shared" si="10"/>
        <v>1226.999999997206</v>
      </c>
      <c r="H213" s="4" t="s">
        <v>524</v>
      </c>
      <c r="I213" s="3">
        <v>728</v>
      </c>
      <c r="J213" s="2">
        <v>0.9</v>
      </c>
      <c r="K213" s="2">
        <f t="shared" si="11"/>
        <v>291</v>
      </c>
    </row>
    <row r="214" spans="1:11" x14ac:dyDescent="0.4">
      <c r="A214" s="2" t="s">
        <v>526</v>
      </c>
      <c r="B214" s="2" t="s">
        <v>42</v>
      </c>
      <c r="C214" s="4" t="s">
        <v>212</v>
      </c>
      <c r="D214" s="7">
        <f>IF(INT(C214)=0, C214 * 1440, (C214-INT(C214))*1440)</f>
        <v>1055.0000000023283</v>
      </c>
      <c r="E214" s="2">
        <v>172</v>
      </c>
      <c r="F214" s="2">
        <f t="shared" si="9"/>
        <v>154</v>
      </c>
      <c r="G214" s="10">
        <f t="shared" si="10"/>
        <v>1190.9999999951106</v>
      </c>
      <c r="H214" s="4" t="s">
        <v>468</v>
      </c>
      <c r="I214" s="3">
        <v>683</v>
      </c>
      <c r="J214" s="2">
        <v>0.9</v>
      </c>
      <c r="K214" s="2">
        <f t="shared" si="11"/>
        <v>273</v>
      </c>
    </row>
    <row r="215" spans="1:11" x14ac:dyDescent="0.4">
      <c r="A215" s="2" t="s">
        <v>527</v>
      </c>
      <c r="B215" s="2" t="s">
        <v>17</v>
      </c>
      <c r="C215" s="4" t="s">
        <v>516</v>
      </c>
      <c r="D215" s="7">
        <f>IF(INT(C215)=0, C215 * 1440, (C215-INT(C215))*1440)</f>
        <v>1065.0000000034925</v>
      </c>
      <c r="E215" s="2">
        <v>286</v>
      </c>
      <c r="F215" s="2">
        <f t="shared" si="9"/>
        <v>257</v>
      </c>
      <c r="G215" s="10">
        <f t="shared" si="10"/>
        <v>1164.000000001397</v>
      </c>
      <c r="H215" s="4" t="s">
        <v>528</v>
      </c>
      <c r="I215" s="3">
        <v>4116</v>
      </c>
      <c r="J215" s="2">
        <v>0.9</v>
      </c>
      <c r="K215" s="2">
        <f t="shared" si="11"/>
        <v>1646</v>
      </c>
    </row>
    <row r="216" spans="1:11" x14ac:dyDescent="0.4">
      <c r="A216" s="2" t="s">
        <v>529</v>
      </c>
      <c r="B216" s="2" t="s">
        <v>37</v>
      </c>
      <c r="C216" s="4" t="s">
        <v>516</v>
      </c>
      <c r="D216" s="7">
        <f>IF(INT(C216)=0, C216 * 1440, (C216-INT(C216))*1440)</f>
        <v>1065.0000000034925</v>
      </c>
      <c r="E216" s="2">
        <v>144</v>
      </c>
      <c r="F216" s="2">
        <f t="shared" si="9"/>
        <v>129</v>
      </c>
      <c r="G216" s="10">
        <f t="shared" si="10"/>
        <v>1119.000000001397</v>
      </c>
      <c r="H216" s="4" t="s">
        <v>364</v>
      </c>
      <c r="I216" s="3">
        <v>482</v>
      </c>
      <c r="J216" s="2">
        <v>0.9</v>
      </c>
      <c r="K216" s="2">
        <f t="shared" si="11"/>
        <v>192</v>
      </c>
    </row>
    <row r="217" spans="1:11" x14ac:dyDescent="0.4">
      <c r="A217" s="2" t="s">
        <v>530</v>
      </c>
      <c r="B217" s="2" t="s">
        <v>24</v>
      </c>
      <c r="C217" s="4" t="s">
        <v>516</v>
      </c>
      <c r="D217" s="7">
        <f>IF(INT(C217)=0, C217 * 1440, (C217-INT(C217))*1440)</f>
        <v>1065.0000000034925</v>
      </c>
      <c r="E217" s="2">
        <v>160</v>
      </c>
      <c r="F217" s="2">
        <f t="shared" si="9"/>
        <v>144</v>
      </c>
      <c r="G217" s="10">
        <f t="shared" si="10"/>
        <v>1338.000000002794</v>
      </c>
      <c r="H217" s="4" t="s">
        <v>531</v>
      </c>
      <c r="I217" s="3">
        <v>837</v>
      </c>
      <c r="J217" s="2">
        <v>0.9</v>
      </c>
      <c r="K217" s="2">
        <f t="shared" si="11"/>
        <v>334</v>
      </c>
    </row>
    <row r="218" spans="1:11" x14ac:dyDescent="0.4">
      <c r="A218" s="2" t="s">
        <v>533</v>
      </c>
      <c r="B218" s="2" t="s">
        <v>5</v>
      </c>
      <c r="C218" s="4" t="s">
        <v>532</v>
      </c>
      <c r="D218" s="7">
        <f>IF(INT(C218)=0, C218 * 1440, (C218-INT(C218))*1440)</f>
        <v>1069.9999999988358</v>
      </c>
      <c r="E218" s="2">
        <v>178</v>
      </c>
      <c r="F218" s="2">
        <f t="shared" si="9"/>
        <v>160</v>
      </c>
      <c r="G218" s="10">
        <f t="shared" si="10"/>
        <v>1100.9999999951106</v>
      </c>
      <c r="H218" s="4" t="s">
        <v>534</v>
      </c>
      <c r="I218" s="3">
        <v>910</v>
      </c>
      <c r="J218" s="2">
        <v>0.9</v>
      </c>
      <c r="K218" s="2">
        <f t="shared" si="11"/>
        <v>364</v>
      </c>
    </row>
    <row r="219" spans="1:11" x14ac:dyDescent="0.4">
      <c r="A219" s="2" t="s">
        <v>536</v>
      </c>
      <c r="B219" s="2" t="s">
        <v>5</v>
      </c>
      <c r="C219" s="4" t="s">
        <v>537</v>
      </c>
      <c r="D219" s="7">
        <f>IF(INT(C219)=0, C219 * 1440, (C219-INT(C219))*1440)</f>
        <v>1075.0000000046566</v>
      </c>
      <c r="E219" s="2">
        <v>178</v>
      </c>
      <c r="F219" s="2">
        <f t="shared" si="9"/>
        <v>160</v>
      </c>
      <c r="G219" s="10">
        <f t="shared" si="10"/>
        <v>1281.9999999983702</v>
      </c>
      <c r="H219" s="4" t="s">
        <v>538</v>
      </c>
      <c r="I219" s="3">
        <v>758</v>
      </c>
      <c r="J219" s="2">
        <v>0.9</v>
      </c>
      <c r="K219" s="2">
        <f t="shared" si="11"/>
        <v>303</v>
      </c>
    </row>
    <row r="220" spans="1:11" x14ac:dyDescent="0.4">
      <c r="A220" s="2" t="s">
        <v>540</v>
      </c>
      <c r="B220" s="2" t="s">
        <v>9</v>
      </c>
      <c r="C220" s="4" t="s">
        <v>537</v>
      </c>
      <c r="D220" s="7">
        <f>IF(INT(C220)=0, C220 * 1440, (C220-INT(C220))*1440)</f>
        <v>1075.0000000046566</v>
      </c>
      <c r="E220" s="2">
        <v>283</v>
      </c>
      <c r="F220" s="2">
        <f t="shared" si="9"/>
        <v>254</v>
      </c>
      <c r="G220" s="10">
        <f t="shared" si="10"/>
        <v>8.9999999979045242</v>
      </c>
      <c r="H220" s="4" t="s">
        <v>541</v>
      </c>
      <c r="I220" s="3">
        <v>1107</v>
      </c>
      <c r="J220" s="2">
        <v>0.9</v>
      </c>
      <c r="K220" s="2">
        <f t="shared" si="11"/>
        <v>442</v>
      </c>
    </row>
    <row r="221" spans="1:11" x14ac:dyDescent="0.4">
      <c r="A221" s="2" t="s">
        <v>542</v>
      </c>
      <c r="B221" s="2" t="s">
        <v>31</v>
      </c>
      <c r="C221" s="4" t="s">
        <v>373</v>
      </c>
      <c r="D221" s="7">
        <f>IF(INT(C221)=0, C221 * 1440, (C221-INT(C221))*1440)</f>
        <v>1080</v>
      </c>
      <c r="E221" s="2">
        <v>189</v>
      </c>
      <c r="F221" s="2">
        <f t="shared" si="9"/>
        <v>170</v>
      </c>
      <c r="G221" s="10">
        <f t="shared" si="10"/>
        <v>1107.9999999969732</v>
      </c>
      <c r="H221" s="4" t="s">
        <v>455</v>
      </c>
      <c r="I221" s="3">
        <v>852</v>
      </c>
      <c r="J221" s="2">
        <v>0.9</v>
      </c>
      <c r="K221" s="2">
        <f t="shared" si="11"/>
        <v>340</v>
      </c>
    </row>
    <row r="222" spans="1:11" x14ac:dyDescent="0.4">
      <c r="A222" s="2" t="s">
        <v>545</v>
      </c>
      <c r="B222" s="2" t="s">
        <v>37</v>
      </c>
      <c r="C222" s="4" t="s">
        <v>544</v>
      </c>
      <c r="D222" s="7">
        <f>IF(INT(C222)=0, C222 * 1440, (C222-INT(C222))*1440)</f>
        <v>1084.9999999953434</v>
      </c>
      <c r="E222" s="2">
        <v>144</v>
      </c>
      <c r="F222" s="2">
        <f t="shared" si="9"/>
        <v>129</v>
      </c>
      <c r="G222" s="10">
        <f t="shared" si="10"/>
        <v>1210.0000000046566</v>
      </c>
      <c r="H222" s="4" t="s">
        <v>418</v>
      </c>
      <c r="I222" s="3">
        <v>713</v>
      </c>
      <c r="J222" s="2">
        <v>0.9</v>
      </c>
      <c r="K222" s="2">
        <f t="shared" si="11"/>
        <v>285</v>
      </c>
    </row>
    <row r="223" spans="1:11" x14ac:dyDescent="0.4">
      <c r="A223" s="2" t="s">
        <v>548</v>
      </c>
      <c r="B223" s="2" t="s">
        <v>37</v>
      </c>
      <c r="C223" s="4" t="s">
        <v>547</v>
      </c>
      <c r="D223" s="7">
        <f>IF(INT(C223)=0, C223 * 1440, (C223-INT(C223))*1440)</f>
        <v>1094.9999999965075</v>
      </c>
      <c r="E223" s="2">
        <v>144</v>
      </c>
      <c r="F223" s="2">
        <f t="shared" si="9"/>
        <v>129</v>
      </c>
      <c r="G223" s="10">
        <f t="shared" si="10"/>
        <v>1235.0000000023283</v>
      </c>
      <c r="H223" s="4" t="s">
        <v>549</v>
      </c>
      <c r="I223" s="3">
        <v>1206</v>
      </c>
      <c r="J223" s="2">
        <v>0.9</v>
      </c>
      <c r="K223" s="2">
        <f t="shared" si="11"/>
        <v>482</v>
      </c>
    </row>
    <row r="224" spans="1:11" x14ac:dyDescent="0.4">
      <c r="A224" s="2" t="s">
        <v>550</v>
      </c>
      <c r="B224" s="2" t="s">
        <v>17</v>
      </c>
      <c r="C224" s="4" t="s">
        <v>547</v>
      </c>
      <c r="D224" s="7">
        <f>IF(INT(C224)=0, C224 * 1440, (C224-INT(C224))*1440)</f>
        <v>1094.9999999965075</v>
      </c>
      <c r="E224" s="2">
        <v>286</v>
      </c>
      <c r="F224" s="2">
        <f t="shared" si="9"/>
        <v>257</v>
      </c>
      <c r="G224" s="10">
        <f t="shared" si="10"/>
        <v>1116.0000000020955</v>
      </c>
      <c r="H224" s="4" t="s">
        <v>539</v>
      </c>
      <c r="I224" s="3">
        <v>3295</v>
      </c>
      <c r="J224" s="2">
        <v>0.9</v>
      </c>
      <c r="K224" s="2">
        <f t="shared" si="11"/>
        <v>1318</v>
      </c>
    </row>
    <row r="225" spans="1:11" x14ac:dyDescent="0.4">
      <c r="A225" s="2" t="s">
        <v>411</v>
      </c>
      <c r="B225" s="2" t="s">
        <v>232</v>
      </c>
      <c r="C225" s="4" t="s">
        <v>547</v>
      </c>
      <c r="D225" s="7">
        <f>IF(INT(C225)=0, C225 * 1440, (C225-INT(C225))*1440)</f>
        <v>1094.9999999965075</v>
      </c>
      <c r="E225" s="2">
        <v>195</v>
      </c>
      <c r="F225" s="2">
        <f t="shared" si="9"/>
        <v>175</v>
      </c>
      <c r="G225" s="10">
        <f t="shared" si="10"/>
        <v>1258.9999999967404</v>
      </c>
      <c r="H225" s="4" t="s">
        <v>551</v>
      </c>
      <c r="I225" s="3">
        <v>1338</v>
      </c>
      <c r="J225" s="2">
        <v>0.9</v>
      </c>
      <c r="K225" s="2">
        <f t="shared" si="11"/>
        <v>535</v>
      </c>
    </row>
    <row r="226" spans="1:11" x14ac:dyDescent="0.4">
      <c r="A226" s="2" t="s">
        <v>552</v>
      </c>
      <c r="B226" s="2" t="s">
        <v>31</v>
      </c>
      <c r="C226" s="4" t="s">
        <v>522</v>
      </c>
      <c r="D226" s="7">
        <f>IF(INT(C226)=0, C226 * 1440, (C226-INT(C226))*1440)</f>
        <v>1104.9999999976717</v>
      </c>
      <c r="E226" s="2">
        <v>189</v>
      </c>
      <c r="F226" s="2">
        <f t="shared" si="9"/>
        <v>170</v>
      </c>
      <c r="G226" s="10">
        <f t="shared" si="10"/>
        <v>1216.0000000032596</v>
      </c>
      <c r="H226" s="4" t="s">
        <v>491</v>
      </c>
      <c r="I226" s="3">
        <v>756</v>
      </c>
      <c r="J226" s="2">
        <v>0.9</v>
      </c>
      <c r="K226" s="2">
        <f t="shared" si="11"/>
        <v>302</v>
      </c>
    </row>
    <row r="227" spans="1:11" x14ac:dyDescent="0.4">
      <c r="A227" s="2" t="s">
        <v>554</v>
      </c>
      <c r="B227" s="2" t="s">
        <v>42</v>
      </c>
      <c r="C227" s="4" t="s">
        <v>522</v>
      </c>
      <c r="D227" s="7">
        <f>IF(INT(C227)=0, C227 * 1440, (C227-INT(C227))*1440)</f>
        <v>1104.9999999976717</v>
      </c>
      <c r="E227" s="2">
        <v>172</v>
      </c>
      <c r="F227" s="2">
        <f t="shared" si="9"/>
        <v>154</v>
      </c>
      <c r="G227" s="10">
        <f t="shared" si="10"/>
        <v>1116.9999999948777</v>
      </c>
      <c r="H227" s="4" t="s">
        <v>473</v>
      </c>
      <c r="I227" s="3">
        <v>927</v>
      </c>
      <c r="J227" s="2">
        <v>0.9</v>
      </c>
      <c r="K227" s="2">
        <f t="shared" si="11"/>
        <v>370</v>
      </c>
    </row>
    <row r="228" spans="1:11" x14ac:dyDescent="0.4">
      <c r="A228" s="2" t="s">
        <v>393</v>
      </c>
      <c r="B228" s="2" t="s">
        <v>5</v>
      </c>
      <c r="C228" s="4" t="s">
        <v>553</v>
      </c>
      <c r="D228" s="7">
        <f>IF(INT(C228)=0, C228 * 1440, (C228-INT(C228))*1440)</f>
        <v>1110.0000000034925</v>
      </c>
      <c r="E228" s="2">
        <v>178</v>
      </c>
      <c r="F228" s="2">
        <f t="shared" si="9"/>
        <v>160</v>
      </c>
      <c r="G228" s="10">
        <f t="shared" si="10"/>
        <v>1140.9999999997672</v>
      </c>
      <c r="H228" s="4" t="s">
        <v>430</v>
      </c>
      <c r="I228" s="3">
        <v>1427</v>
      </c>
      <c r="J228" s="2">
        <v>0.9</v>
      </c>
      <c r="K228" s="2">
        <f t="shared" si="11"/>
        <v>570</v>
      </c>
    </row>
    <row r="229" spans="1:11" x14ac:dyDescent="0.4">
      <c r="A229" s="2" t="s">
        <v>555</v>
      </c>
      <c r="B229" s="2" t="s">
        <v>274</v>
      </c>
      <c r="C229" s="4" t="s">
        <v>553</v>
      </c>
      <c r="D229" s="7">
        <f>IF(INT(C229)=0, C229 * 1440, (C229-INT(C229))*1440)</f>
        <v>1110.0000000034925</v>
      </c>
      <c r="E229" s="2">
        <v>335</v>
      </c>
      <c r="F229" s="2">
        <f t="shared" si="9"/>
        <v>301</v>
      </c>
      <c r="G229" s="10">
        <f t="shared" si="10"/>
        <v>1329.0000000048894</v>
      </c>
      <c r="H229" s="4" t="s">
        <v>556</v>
      </c>
      <c r="I229" s="3">
        <v>672</v>
      </c>
      <c r="J229" s="2">
        <v>0.9</v>
      </c>
      <c r="K229" s="2">
        <f t="shared" si="11"/>
        <v>268</v>
      </c>
    </row>
    <row r="230" spans="1:11" x14ac:dyDescent="0.4">
      <c r="A230" s="2" t="s">
        <v>558</v>
      </c>
      <c r="B230" s="2" t="s">
        <v>9</v>
      </c>
      <c r="C230" s="4" t="s">
        <v>553</v>
      </c>
      <c r="D230" s="7">
        <f>IF(INT(C230)=0, C230 * 1440, (C230-INT(C230))*1440)</f>
        <v>1110.0000000034925</v>
      </c>
      <c r="E230" s="2">
        <v>283</v>
      </c>
      <c r="F230" s="2">
        <f t="shared" si="9"/>
        <v>254</v>
      </c>
      <c r="G230" s="10">
        <f t="shared" si="10"/>
        <v>1120.9999999974389</v>
      </c>
      <c r="H230" s="4" t="s">
        <v>490</v>
      </c>
      <c r="I230" s="3">
        <v>3674</v>
      </c>
      <c r="J230" s="2">
        <v>0.9</v>
      </c>
      <c r="K230" s="2">
        <f t="shared" si="11"/>
        <v>1469</v>
      </c>
    </row>
    <row r="231" spans="1:11" x14ac:dyDescent="0.4">
      <c r="A231" s="2" t="s">
        <v>559</v>
      </c>
      <c r="B231" s="2" t="s">
        <v>24</v>
      </c>
      <c r="C231" s="4" t="s">
        <v>553</v>
      </c>
      <c r="D231" s="7">
        <f>IF(INT(C231)=0, C231 * 1440, (C231-INT(C231))*1440)</f>
        <v>1110.0000000034925</v>
      </c>
      <c r="E231" s="2">
        <v>160</v>
      </c>
      <c r="F231" s="2">
        <f t="shared" si="9"/>
        <v>144</v>
      </c>
      <c r="G231" s="10">
        <f t="shared" si="10"/>
        <v>1335.0000000034925</v>
      </c>
      <c r="H231" s="4" t="s">
        <v>560</v>
      </c>
      <c r="I231" s="3">
        <v>1007</v>
      </c>
      <c r="J231" s="2">
        <v>0.9</v>
      </c>
      <c r="K231" s="2">
        <f t="shared" si="11"/>
        <v>402</v>
      </c>
    </row>
    <row r="232" spans="1:11" x14ac:dyDescent="0.4">
      <c r="A232" s="2" t="s">
        <v>561</v>
      </c>
      <c r="B232" s="2" t="s">
        <v>24</v>
      </c>
      <c r="C232" s="4" t="s">
        <v>553</v>
      </c>
      <c r="D232" s="7">
        <f>IF(INT(C232)=0, C232 * 1440, (C232-INT(C232))*1440)</f>
        <v>1110.0000000034925</v>
      </c>
      <c r="E232" s="2">
        <v>160</v>
      </c>
      <c r="F232" s="2">
        <f t="shared" si="9"/>
        <v>144</v>
      </c>
      <c r="G232" s="10">
        <f t="shared" si="10"/>
        <v>1284.9999999976717</v>
      </c>
      <c r="H232" s="4" t="s">
        <v>518</v>
      </c>
      <c r="I232" s="3">
        <v>1095</v>
      </c>
      <c r="J232" s="2">
        <v>0.9</v>
      </c>
      <c r="K232" s="2">
        <f t="shared" si="11"/>
        <v>438</v>
      </c>
    </row>
    <row r="233" spans="1:11" x14ac:dyDescent="0.4">
      <c r="A233" s="2" t="s">
        <v>562</v>
      </c>
      <c r="B233" s="2" t="s">
        <v>14</v>
      </c>
      <c r="C233" s="4" t="s">
        <v>525</v>
      </c>
      <c r="D233" s="7">
        <f>IF(INT(C233)=0, C233 * 1440, (C233-INT(C233))*1440)</f>
        <v>1114.9999999988358</v>
      </c>
      <c r="E233" s="2">
        <v>314</v>
      </c>
      <c r="F233" s="2">
        <f t="shared" si="9"/>
        <v>282</v>
      </c>
      <c r="G233" s="10">
        <f t="shared" si="10"/>
        <v>1300.9999999974389</v>
      </c>
      <c r="H233" s="4" t="s">
        <v>563</v>
      </c>
      <c r="I233" s="3">
        <v>640</v>
      </c>
      <c r="J233" s="2">
        <v>0.9</v>
      </c>
      <c r="K233" s="2">
        <f t="shared" si="11"/>
        <v>256</v>
      </c>
    </row>
    <row r="234" spans="1:11" x14ac:dyDescent="0.4">
      <c r="A234" s="2" t="s">
        <v>564</v>
      </c>
      <c r="B234" s="2" t="s">
        <v>9</v>
      </c>
      <c r="C234" s="4" t="s">
        <v>525</v>
      </c>
      <c r="D234" s="7">
        <f>IF(INT(C234)=0, C234 * 1440, (C234-INT(C234))*1440)</f>
        <v>1114.9999999988358</v>
      </c>
      <c r="E234" s="2">
        <v>283</v>
      </c>
      <c r="F234" s="2">
        <f t="shared" si="9"/>
        <v>254</v>
      </c>
      <c r="G234" s="10">
        <f t="shared" si="10"/>
        <v>1119.000000001397</v>
      </c>
      <c r="H234" s="4" t="s">
        <v>364</v>
      </c>
      <c r="I234" s="3">
        <v>1453</v>
      </c>
      <c r="J234" s="2">
        <v>0.9</v>
      </c>
      <c r="K234" s="2">
        <f t="shared" si="11"/>
        <v>581</v>
      </c>
    </row>
    <row r="235" spans="1:11" x14ac:dyDescent="0.4">
      <c r="A235" s="2" t="s">
        <v>566</v>
      </c>
      <c r="B235" s="2" t="s">
        <v>5</v>
      </c>
      <c r="C235" s="4" t="s">
        <v>565</v>
      </c>
      <c r="D235" s="7">
        <f>IF(INT(C235)=0, C235 * 1440, (C235-INT(C235))*1440)</f>
        <v>1120.0000000046566</v>
      </c>
      <c r="E235" s="2">
        <v>178</v>
      </c>
      <c r="F235" s="2">
        <f t="shared" si="9"/>
        <v>160</v>
      </c>
      <c r="G235" s="10">
        <f t="shared" si="10"/>
        <v>1358.0000000051223</v>
      </c>
      <c r="H235" s="4" t="s">
        <v>567</v>
      </c>
      <c r="I235" s="3">
        <v>772</v>
      </c>
      <c r="J235" s="2">
        <v>0.9</v>
      </c>
      <c r="K235" s="2">
        <f t="shared" si="11"/>
        <v>308</v>
      </c>
    </row>
    <row r="236" spans="1:11" x14ac:dyDescent="0.4">
      <c r="A236" s="2" t="s">
        <v>568</v>
      </c>
      <c r="B236" s="2" t="s">
        <v>5</v>
      </c>
      <c r="C236" s="4" t="s">
        <v>565</v>
      </c>
      <c r="D236" s="7">
        <f>IF(INT(C236)=0, C236 * 1440, (C236-INT(C236))*1440)</f>
        <v>1120.0000000046566</v>
      </c>
      <c r="E236" s="2">
        <v>178</v>
      </c>
      <c r="F236" s="2">
        <f t="shared" si="9"/>
        <v>160</v>
      </c>
      <c r="G236" s="10">
        <f t="shared" si="10"/>
        <v>1431.0000000020955</v>
      </c>
      <c r="H236" s="4" t="s">
        <v>569</v>
      </c>
      <c r="I236" s="3">
        <v>640</v>
      </c>
      <c r="J236" s="2">
        <v>0.9</v>
      </c>
      <c r="K236" s="2">
        <f t="shared" si="11"/>
        <v>256</v>
      </c>
    </row>
    <row r="237" spans="1:11" x14ac:dyDescent="0.4">
      <c r="A237" s="2" t="s">
        <v>570</v>
      </c>
      <c r="B237" s="2" t="s">
        <v>37</v>
      </c>
      <c r="C237" s="4" t="s">
        <v>286</v>
      </c>
      <c r="D237" s="7">
        <f>IF(INT(C237)=0, C237 * 1440, (C237-INT(C237))*1440)</f>
        <v>1125</v>
      </c>
      <c r="E237" s="2">
        <v>144</v>
      </c>
      <c r="F237" s="2">
        <f t="shared" si="9"/>
        <v>129</v>
      </c>
      <c r="G237" s="10">
        <f t="shared" si="10"/>
        <v>1303.9999999967404</v>
      </c>
      <c r="H237" s="4" t="s">
        <v>571</v>
      </c>
      <c r="I237" s="3">
        <v>640</v>
      </c>
      <c r="J237" s="2">
        <v>0.9</v>
      </c>
      <c r="K237" s="2">
        <f t="shared" si="11"/>
        <v>256</v>
      </c>
    </row>
    <row r="238" spans="1:11" x14ac:dyDescent="0.4">
      <c r="A238" s="2" t="s">
        <v>572</v>
      </c>
      <c r="B238" s="2" t="s">
        <v>24</v>
      </c>
      <c r="C238" s="4" t="s">
        <v>286</v>
      </c>
      <c r="D238" s="7">
        <f>IF(INT(C238)=0, C238 * 1440, (C238-INT(C238))*1440)</f>
        <v>1125</v>
      </c>
      <c r="E238" s="2">
        <v>160</v>
      </c>
      <c r="F238" s="2">
        <f t="shared" si="9"/>
        <v>144</v>
      </c>
      <c r="G238" s="10">
        <f t="shared" si="10"/>
        <v>10.000000001164153</v>
      </c>
      <c r="H238" s="4" t="s">
        <v>573</v>
      </c>
      <c r="I238" s="3">
        <v>870</v>
      </c>
      <c r="J238" s="2">
        <v>0.9</v>
      </c>
      <c r="K238" s="2">
        <f t="shared" si="11"/>
        <v>348</v>
      </c>
    </row>
    <row r="239" spans="1:11" x14ac:dyDescent="0.4">
      <c r="A239" s="2" t="s">
        <v>574</v>
      </c>
      <c r="B239" s="2" t="s">
        <v>5</v>
      </c>
      <c r="C239" s="4" t="s">
        <v>575</v>
      </c>
      <c r="D239" s="7">
        <f>IF(INT(C239)=0, C239 * 1440, (C239-INT(C239))*1440)</f>
        <v>1129.9999999953434</v>
      </c>
      <c r="E239" s="2">
        <v>178</v>
      </c>
      <c r="F239" s="2">
        <f t="shared" si="9"/>
        <v>160</v>
      </c>
      <c r="G239" s="10">
        <f t="shared" si="10"/>
        <v>1161.9999999948777</v>
      </c>
      <c r="H239" s="4" t="s">
        <v>576</v>
      </c>
      <c r="I239" s="3">
        <v>649</v>
      </c>
      <c r="J239" s="2">
        <v>0.9</v>
      </c>
      <c r="K239" s="2">
        <f t="shared" si="11"/>
        <v>259</v>
      </c>
    </row>
    <row r="240" spans="1:11" x14ac:dyDescent="0.4">
      <c r="A240" s="2" t="s">
        <v>577</v>
      </c>
      <c r="B240" s="2" t="s">
        <v>72</v>
      </c>
      <c r="C240" s="4" t="s">
        <v>575</v>
      </c>
      <c r="D240" s="7">
        <f>IF(INT(C240)=0, C240 * 1440, (C240-INT(C240))*1440)</f>
        <v>1129.9999999953434</v>
      </c>
      <c r="E240" s="2">
        <v>361</v>
      </c>
      <c r="F240" s="2">
        <f t="shared" si="9"/>
        <v>324</v>
      </c>
      <c r="G240" s="10">
        <f t="shared" si="10"/>
        <v>1335.9999999962747</v>
      </c>
      <c r="H240" s="4" t="s">
        <v>578</v>
      </c>
      <c r="I240" s="3">
        <v>728</v>
      </c>
      <c r="J240" s="2">
        <v>0.9</v>
      </c>
      <c r="K240" s="2">
        <f t="shared" si="11"/>
        <v>291</v>
      </c>
    </row>
    <row r="241" spans="1:11" x14ac:dyDescent="0.4">
      <c r="A241" s="2" t="s">
        <v>580</v>
      </c>
      <c r="B241" s="2" t="s">
        <v>17</v>
      </c>
      <c r="C241" s="4" t="s">
        <v>581</v>
      </c>
      <c r="D241" s="7">
        <f>IF(INT(C241)=0, C241 * 1440, (C241-INT(C241))*1440)</f>
        <v>1135.0000000011642</v>
      </c>
      <c r="E241" s="2">
        <v>286</v>
      </c>
      <c r="F241" s="2">
        <f t="shared" si="9"/>
        <v>257</v>
      </c>
      <c r="G241" s="10">
        <f t="shared" si="10"/>
        <v>46.000000003259629</v>
      </c>
      <c r="H241" s="4" t="s">
        <v>582</v>
      </c>
      <c r="I241" s="3">
        <v>4191</v>
      </c>
      <c r="J241" s="2">
        <v>0.9</v>
      </c>
      <c r="K241" s="2">
        <f t="shared" si="11"/>
        <v>1676</v>
      </c>
    </row>
    <row r="242" spans="1:11" x14ac:dyDescent="0.4">
      <c r="A242" s="2" t="s">
        <v>583</v>
      </c>
      <c r="B242" s="2" t="s">
        <v>42</v>
      </c>
      <c r="C242" s="4" t="s">
        <v>581</v>
      </c>
      <c r="D242" s="7">
        <f>IF(INT(C242)=0, C242 * 1440, (C242-INT(C242))*1440)</f>
        <v>1135.0000000011642</v>
      </c>
      <c r="E242" s="2">
        <v>172</v>
      </c>
      <c r="F242" s="2">
        <f t="shared" si="9"/>
        <v>154</v>
      </c>
      <c r="G242" s="10">
        <f t="shared" si="10"/>
        <v>1320.9999999997672</v>
      </c>
      <c r="H242" s="4" t="s">
        <v>584</v>
      </c>
      <c r="I242" s="3">
        <v>758</v>
      </c>
      <c r="J242" s="2">
        <v>0.9</v>
      </c>
      <c r="K242" s="2">
        <f t="shared" si="11"/>
        <v>303</v>
      </c>
    </row>
    <row r="243" spans="1:11" x14ac:dyDescent="0.4">
      <c r="A243" s="2" t="s">
        <v>585</v>
      </c>
      <c r="B243" s="2" t="s">
        <v>24</v>
      </c>
      <c r="C243" s="4" t="s">
        <v>581</v>
      </c>
      <c r="D243" s="7">
        <f>IF(INT(C243)=0, C243 * 1440, (C243-INT(C243))*1440)</f>
        <v>1135.0000000011642</v>
      </c>
      <c r="E243" s="2">
        <v>160</v>
      </c>
      <c r="F243" s="2">
        <f t="shared" si="9"/>
        <v>144</v>
      </c>
      <c r="G243" s="10">
        <f t="shared" si="10"/>
        <v>1367.999999995809</v>
      </c>
      <c r="H243" s="4" t="s">
        <v>586</v>
      </c>
      <c r="I243" s="3">
        <v>728</v>
      </c>
      <c r="J243" s="2">
        <v>0.9</v>
      </c>
      <c r="K243" s="2">
        <f t="shared" si="11"/>
        <v>291</v>
      </c>
    </row>
    <row r="244" spans="1:11" x14ac:dyDescent="0.4">
      <c r="A244" s="2" t="s">
        <v>587</v>
      </c>
      <c r="B244" s="2" t="s">
        <v>155</v>
      </c>
      <c r="C244" s="4" t="s">
        <v>581</v>
      </c>
      <c r="D244" s="7">
        <f>IF(INT(C244)=0, C244 * 1440, (C244-INT(C244))*1440)</f>
        <v>1135.0000000011642</v>
      </c>
      <c r="E244" s="2">
        <v>189</v>
      </c>
      <c r="F244" s="2">
        <f t="shared" si="9"/>
        <v>170</v>
      </c>
      <c r="G244" s="10">
        <f t="shared" si="10"/>
        <v>1151.0000000009313</v>
      </c>
      <c r="H244" s="4" t="s">
        <v>579</v>
      </c>
      <c r="I244" s="3">
        <v>697</v>
      </c>
      <c r="J244" s="2">
        <v>0.9</v>
      </c>
      <c r="K244" s="2">
        <f t="shared" si="11"/>
        <v>278</v>
      </c>
    </row>
    <row r="245" spans="1:11" x14ac:dyDescent="0.4">
      <c r="A245" s="2" t="s">
        <v>425</v>
      </c>
      <c r="B245" s="2" t="s">
        <v>42</v>
      </c>
      <c r="C245" s="4" t="s">
        <v>496</v>
      </c>
      <c r="D245" s="7">
        <f>IF(INT(C245)=0, C245 * 1440, (C245-INT(C245))*1440)</f>
        <v>1139.9999999965075</v>
      </c>
      <c r="E245" s="2">
        <v>172</v>
      </c>
      <c r="F245" s="2">
        <f t="shared" si="9"/>
        <v>154</v>
      </c>
      <c r="G245" s="10">
        <f t="shared" si="10"/>
        <v>1145.9999999951106</v>
      </c>
      <c r="H245" s="4" t="s">
        <v>535</v>
      </c>
      <c r="I245" s="3">
        <v>1018</v>
      </c>
      <c r="J245" s="2">
        <v>0.9</v>
      </c>
      <c r="K245" s="2">
        <f t="shared" si="11"/>
        <v>407</v>
      </c>
    </row>
    <row r="246" spans="1:11" x14ac:dyDescent="0.4">
      <c r="A246" s="2" t="s">
        <v>588</v>
      </c>
      <c r="B246" s="2" t="s">
        <v>14</v>
      </c>
      <c r="C246" s="4" t="s">
        <v>496</v>
      </c>
      <c r="D246" s="7">
        <f>IF(INT(C246)=0, C246 * 1440, (C246-INT(C246))*1440)</f>
        <v>1139.9999999965075</v>
      </c>
      <c r="E246" s="2">
        <v>314</v>
      </c>
      <c r="F246" s="2">
        <f t="shared" si="9"/>
        <v>282</v>
      </c>
      <c r="G246" s="10">
        <f t="shared" si="10"/>
        <v>1140.9999999997672</v>
      </c>
      <c r="H246" s="4" t="s">
        <v>430</v>
      </c>
      <c r="I246" s="3">
        <v>1024</v>
      </c>
      <c r="J246" s="2">
        <v>0.9</v>
      </c>
      <c r="K246" s="2">
        <f t="shared" si="11"/>
        <v>409</v>
      </c>
    </row>
    <row r="247" spans="1:11" x14ac:dyDescent="0.4">
      <c r="A247" s="2" t="s">
        <v>589</v>
      </c>
      <c r="B247" s="2" t="s">
        <v>14</v>
      </c>
      <c r="C247" s="4" t="s">
        <v>496</v>
      </c>
      <c r="D247" s="7">
        <f>IF(INT(C247)=0, C247 * 1440, (C247-INT(C247))*1440)</f>
        <v>1139.9999999965075</v>
      </c>
      <c r="E247" s="2">
        <v>314</v>
      </c>
      <c r="F247" s="2">
        <f t="shared" si="9"/>
        <v>282</v>
      </c>
      <c r="G247" s="10">
        <f t="shared" si="10"/>
        <v>1312.0000000018626</v>
      </c>
      <c r="H247" s="4" t="s">
        <v>590</v>
      </c>
      <c r="I247" s="3">
        <v>806</v>
      </c>
      <c r="J247" s="2">
        <v>0.9</v>
      </c>
      <c r="K247" s="2">
        <f t="shared" si="11"/>
        <v>322</v>
      </c>
    </row>
    <row r="248" spans="1:11" x14ac:dyDescent="0.4">
      <c r="A248" s="2" t="s">
        <v>593</v>
      </c>
      <c r="B248" s="2" t="s">
        <v>49</v>
      </c>
      <c r="C248" s="4" t="s">
        <v>592</v>
      </c>
      <c r="D248" s="7">
        <f>IF(INT(C248)=0, C248 * 1440, (C248-INT(C248))*1440)</f>
        <v>1149.9999999976717</v>
      </c>
      <c r="E248" s="2">
        <v>144</v>
      </c>
      <c r="F248" s="2">
        <f t="shared" si="9"/>
        <v>129</v>
      </c>
      <c r="G248" s="10">
        <f t="shared" si="10"/>
        <v>1172.9999999993015</v>
      </c>
      <c r="H248" s="4" t="s">
        <v>502</v>
      </c>
      <c r="I248" s="3">
        <v>843</v>
      </c>
      <c r="J248" s="2">
        <v>0.9</v>
      </c>
      <c r="K248" s="2">
        <f t="shared" si="11"/>
        <v>337</v>
      </c>
    </row>
    <row r="249" spans="1:11" x14ac:dyDescent="0.4">
      <c r="A249" s="2" t="s">
        <v>594</v>
      </c>
      <c r="B249" s="2" t="s">
        <v>68</v>
      </c>
      <c r="C249" s="4" t="s">
        <v>557</v>
      </c>
      <c r="D249" s="7">
        <f>IF(INT(C249)=0, C249 * 1440, (C249-INT(C249))*1440)</f>
        <v>1155.0000000034925</v>
      </c>
      <c r="E249" s="2">
        <v>169</v>
      </c>
      <c r="F249" s="2">
        <f t="shared" si="9"/>
        <v>152</v>
      </c>
      <c r="G249" s="10">
        <f t="shared" si="10"/>
        <v>1164.000000001397</v>
      </c>
      <c r="H249" s="4" t="s">
        <v>528</v>
      </c>
      <c r="I249" s="3">
        <v>1658</v>
      </c>
      <c r="J249" s="2">
        <v>0.9</v>
      </c>
      <c r="K249" s="2">
        <f t="shared" si="11"/>
        <v>663</v>
      </c>
    </row>
    <row r="250" spans="1:11" x14ac:dyDescent="0.4">
      <c r="A250" s="2" t="s">
        <v>595</v>
      </c>
      <c r="B250" s="2" t="s">
        <v>24</v>
      </c>
      <c r="C250" s="4" t="s">
        <v>557</v>
      </c>
      <c r="D250" s="7">
        <f>IF(INT(C250)=0, C250 * 1440, (C250-INT(C250))*1440)</f>
        <v>1155.0000000034925</v>
      </c>
      <c r="E250" s="2">
        <v>160</v>
      </c>
      <c r="F250" s="2">
        <f t="shared" si="9"/>
        <v>144</v>
      </c>
      <c r="G250" s="10">
        <f t="shared" si="10"/>
        <v>1322.0000000030268</v>
      </c>
      <c r="H250" s="4" t="s">
        <v>596</v>
      </c>
      <c r="I250" s="3">
        <v>530</v>
      </c>
      <c r="J250" s="2">
        <v>0.9</v>
      </c>
      <c r="K250" s="2">
        <f t="shared" si="11"/>
        <v>212</v>
      </c>
    </row>
    <row r="251" spans="1:11" x14ac:dyDescent="0.4">
      <c r="A251" s="2" t="s">
        <v>597</v>
      </c>
      <c r="B251" s="2" t="s">
        <v>24</v>
      </c>
      <c r="C251" s="4" t="s">
        <v>557</v>
      </c>
      <c r="D251" s="7">
        <f>IF(INT(C251)=0, C251 * 1440, (C251-INT(C251))*1440)</f>
        <v>1155.0000000034925</v>
      </c>
      <c r="E251" s="2">
        <v>160</v>
      </c>
      <c r="F251" s="2">
        <f t="shared" si="9"/>
        <v>144</v>
      </c>
      <c r="G251" s="10">
        <f t="shared" si="10"/>
        <v>1171.0000000032596</v>
      </c>
      <c r="H251" s="4" t="s">
        <v>435</v>
      </c>
      <c r="I251" s="3">
        <v>981</v>
      </c>
      <c r="J251" s="2">
        <v>0.9</v>
      </c>
      <c r="K251" s="2">
        <f t="shared" si="11"/>
        <v>392</v>
      </c>
    </row>
    <row r="252" spans="1:11" x14ac:dyDescent="0.4">
      <c r="A252" s="2" t="s">
        <v>599</v>
      </c>
      <c r="B252" s="2" t="s">
        <v>24</v>
      </c>
      <c r="C252" s="4" t="s">
        <v>598</v>
      </c>
      <c r="D252" s="7">
        <f>IF(INT(C252)=0, C252 * 1440, (C252-INT(C252))*1440)</f>
        <v>1159.9999999988358</v>
      </c>
      <c r="E252" s="2">
        <v>160</v>
      </c>
      <c r="F252" s="2">
        <f t="shared" si="9"/>
        <v>144</v>
      </c>
      <c r="G252" s="10">
        <f t="shared" si="10"/>
        <v>1164.000000001397</v>
      </c>
      <c r="H252" s="4" t="s">
        <v>528</v>
      </c>
      <c r="I252" s="3">
        <v>607</v>
      </c>
      <c r="J252" s="2">
        <v>0.9</v>
      </c>
      <c r="K252" s="2">
        <f t="shared" si="11"/>
        <v>242</v>
      </c>
    </row>
    <row r="253" spans="1:11" x14ac:dyDescent="0.4">
      <c r="A253" s="2" t="s">
        <v>602</v>
      </c>
      <c r="B253" s="2" t="s">
        <v>11</v>
      </c>
      <c r="C253" s="4" t="s">
        <v>600</v>
      </c>
      <c r="D253" s="7">
        <f>IF(INT(C253)=0, C253 * 1440, (C253-INT(C253))*1440)</f>
        <v>1174.9999999953434</v>
      </c>
      <c r="E253" s="2">
        <v>276</v>
      </c>
      <c r="F253" s="2">
        <f t="shared" si="9"/>
        <v>248</v>
      </c>
      <c r="G253" s="10">
        <f t="shared" si="10"/>
        <v>1197.000000004191</v>
      </c>
      <c r="H253" s="4" t="s">
        <v>444</v>
      </c>
      <c r="I253" s="3">
        <v>1573</v>
      </c>
      <c r="J253" s="2">
        <v>0.9</v>
      </c>
      <c r="K253" s="2">
        <f t="shared" si="11"/>
        <v>629</v>
      </c>
    </row>
    <row r="254" spans="1:11" x14ac:dyDescent="0.4">
      <c r="A254" s="2" t="s">
        <v>603</v>
      </c>
      <c r="B254" s="2" t="s">
        <v>274</v>
      </c>
      <c r="C254" s="4" t="s">
        <v>601</v>
      </c>
      <c r="D254" s="7">
        <f>IF(INT(C254)=0, C254 * 1440, (C254-INT(C254))*1440)</f>
        <v>1184.9999999965075</v>
      </c>
      <c r="E254" s="2">
        <v>335</v>
      </c>
      <c r="F254" s="2">
        <f t="shared" si="9"/>
        <v>301</v>
      </c>
      <c r="G254" s="10">
        <f t="shared" si="10"/>
        <v>1187.0000000030268</v>
      </c>
      <c r="H254" s="4" t="s">
        <v>402</v>
      </c>
      <c r="I254" s="3">
        <v>641</v>
      </c>
      <c r="J254" s="2">
        <v>0.9</v>
      </c>
      <c r="K254" s="2">
        <f t="shared" si="11"/>
        <v>256</v>
      </c>
    </row>
    <row r="255" spans="1:11" x14ac:dyDescent="0.4">
      <c r="A255" s="2" t="s">
        <v>604</v>
      </c>
      <c r="B255" s="2" t="s">
        <v>42</v>
      </c>
      <c r="C255" s="4" t="s">
        <v>386</v>
      </c>
      <c r="D255" s="7">
        <f>IF(INT(C255)=0, C255 * 1440, (C255-INT(C255))*1440)</f>
        <v>1190.0000000023283</v>
      </c>
      <c r="E255" s="2">
        <v>172</v>
      </c>
      <c r="F255" s="2">
        <f t="shared" si="9"/>
        <v>154</v>
      </c>
      <c r="G255" s="10">
        <f t="shared" si="10"/>
        <v>1390.9999999974389</v>
      </c>
      <c r="H255" s="4" t="s">
        <v>605</v>
      </c>
      <c r="I255" s="3">
        <v>561</v>
      </c>
      <c r="J255" s="2">
        <v>0.9</v>
      </c>
      <c r="K255" s="2">
        <f t="shared" si="11"/>
        <v>224</v>
      </c>
    </row>
    <row r="256" spans="1:11" x14ac:dyDescent="0.4">
      <c r="A256" s="2" t="s">
        <v>607</v>
      </c>
      <c r="B256" s="2" t="s">
        <v>24</v>
      </c>
      <c r="C256" s="4" t="s">
        <v>386</v>
      </c>
      <c r="D256" s="7">
        <f>IF(INT(C256)=0, C256 * 1440, (C256-INT(C256))*1440)</f>
        <v>1190.0000000023283</v>
      </c>
      <c r="E256" s="2">
        <v>160</v>
      </c>
      <c r="F256" s="2">
        <f t="shared" si="9"/>
        <v>144</v>
      </c>
      <c r="G256" s="10">
        <f t="shared" si="10"/>
        <v>1219.9999999953434</v>
      </c>
      <c r="H256" s="4" t="s">
        <v>399</v>
      </c>
      <c r="I256" s="3">
        <v>1494</v>
      </c>
      <c r="J256" s="2">
        <v>0.9</v>
      </c>
      <c r="K256" s="2">
        <f t="shared" si="11"/>
        <v>597</v>
      </c>
    </row>
    <row r="257" spans="1:11" x14ac:dyDescent="0.4">
      <c r="A257" s="2" t="s">
        <v>608</v>
      </c>
      <c r="B257" s="2" t="s">
        <v>24</v>
      </c>
      <c r="C257" s="4" t="s">
        <v>330</v>
      </c>
      <c r="D257" s="7">
        <f>IF(INT(C257)=0, C257 * 1440, (C257-INT(C257))*1440)</f>
        <v>1194.9999999976717</v>
      </c>
      <c r="E257" s="2">
        <v>160</v>
      </c>
      <c r="F257" s="2">
        <f t="shared" si="9"/>
        <v>144</v>
      </c>
      <c r="G257" s="10">
        <f t="shared" si="10"/>
        <v>5.9999999986030161</v>
      </c>
      <c r="H257" s="4" t="s">
        <v>609</v>
      </c>
      <c r="I257" s="3">
        <v>839</v>
      </c>
      <c r="J257" s="2">
        <v>0.9</v>
      </c>
      <c r="K257" s="2">
        <f t="shared" si="11"/>
        <v>335</v>
      </c>
    </row>
    <row r="258" spans="1:11" x14ac:dyDescent="0.4">
      <c r="A258" s="2" t="s">
        <v>436</v>
      </c>
      <c r="B258" s="2" t="s">
        <v>184</v>
      </c>
      <c r="C258" s="4" t="s">
        <v>330</v>
      </c>
      <c r="D258" s="7">
        <f>IF(INT(C258)=0, C258 * 1440, (C258-INT(C258))*1440)</f>
        <v>1194.9999999976717</v>
      </c>
      <c r="E258" s="2">
        <v>166</v>
      </c>
      <c r="F258" s="2">
        <f t="shared" si="9"/>
        <v>149</v>
      </c>
      <c r="G258" s="10">
        <f t="shared" si="10"/>
        <v>17.999999995809048</v>
      </c>
      <c r="H258" s="4" t="s">
        <v>610</v>
      </c>
      <c r="I258" s="3">
        <v>631</v>
      </c>
      <c r="J258" s="2">
        <v>0.9</v>
      </c>
      <c r="K258" s="2">
        <f t="shared" si="11"/>
        <v>252</v>
      </c>
    </row>
    <row r="259" spans="1:11" x14ac:dyDescent="0.4">
      <c r="A259" s="2" t="s">
        <v>612</v>
      </c>
      <c r="B259" s="2" t="s">
        <v>72</v>
      </c>
      <c r="C259" s="4" t="s">
        <v>611</v>
      </c>
      <c r="D259" s="7">
        <f>IF(INT(C259)=0, C259 * 1440, (C259-INT(C259))*1440)</f>
        <v>1200.0000000034925</v>
      </c>
      <c r="E259" s="2">
        <v>361</v>
      </c>
      <c r="F259" s="2">
        <f t="shared" ref="F259:F301" si="12">INT(E259*J259)</f>
        <v>324</v>
      </c>
      <c r="G259" s="10">
        <f t="shared" ref="G259:G301" si="13">IF(INT(H259)=0, H259 * 1440, (H259-INT(H259))*1440)</f>
        <v>1287.9999999969732</v>
      </c>
      <c r="H259" s="4" t="s">
        <v>474</v>
      </c>
      <c r="I259" s="3">
        <v>721</v>
      </c>
      <c r="J259" s="2">
        <v>0.9</v>
      </c>
      <c r="K259" s="2">
        <f t="shared" ref="K259:K301" si="14">INT(I259*0.4)</f>
        <v>288</v>
      </c>
    </row>
    <row r="260" spans="1:11" x14ac:dyDescent="0.4">
      <c r="A260" s="2" t="s">
        <v>521</v>
      </c>
      <c r="B260" s="2" t="s">
        <v>42</v>
      </c>
      <c r="C260" s="4" t="s">
        <v>611</v>
      </c>
      <c r="D260" s="7">
        <f>IF(INT(C260)=0, C260 * 1440, (C260-INT(C260))*1440)</f>
        <v>1200.0000000034925</v>
      </c>
      <c r="E260" s="2">
        <v>172</v>
      </c>
      <c r="F260" s="2">
        <f t="shared" si="12"/>
        <v>154</v>
      </c>
      <c r="G260" s="10">
        <f t="shared" si="13"/>
        <v>1377.9999999969732</v>
      </c>
      <c r="H260" s="4" t="s">
        <v>614</v>
      </c>
      <c r="I260" s="3">
        <v>758</v>
      </c>
      <c r="J260" s="2">
        <v>0.9</v>
      </c>
      <c r="K260" s="2">
        <f t="shared" si="14"/>
        <v>303</v>
      </c>
    </row>
    <row r="261" spans="1:11" x14ac:dyDescent="0.4">
      <c r="A261" s="2" t="s">
        <v>615</v>
      </c>
      <c r="B261" s="2" t="s">
        <v>24</v>
      </c>
      <c r="C261" s="4" t="s">
        <v>611</v>
      </c>
      <c r="D261" s="7">
        <f>IF(INT(C261)=0, C261 * 1440, (C261-INT(C261))*1440)</f>
        <v>1200.0000000034925</v>
      </c>
      <c r="E261" s="2">
        <v>160</v>
      </c>
      <c r="F261" s="2">
        <f t="shared" si="12"/>
        <v>144</v>
      </c>
      <c r="G261" s="10">
        <f t="shared" si="13"/>
        <v>1386.0000000020955</v>
      </c>
      <c r="H261" s="4" t="s">
        <v>616</v>
      </c>
      <c r="I261" s="3">
        <v>618</v>
      </c>
      <c r="J261" s="2">
        <v>0.9</v>
      </c>
      <c r="K261" s="2">
        <f t="shared" si="14"/>
        <v>247</v>
      </c>
    </row>
    <row r="262" spans="1:11" x14ac:dyDescent="0.4">
      <c r="A262" s="2" t="s">
        <v>617</v>
      </c>
      <c r="B262" s="2" t="s">
        <v>84</v>
      </c>
      <c r="C262" s="4" t="s">
        <v>465</v>
      </c>
      <c r="D262" s="7">
        <f>IF(INT(C262)=0, C262 * 1440, (C262-INT(C262))*1440)</f>
        <v>1204.9999999988358</v>
      </c>
      <c r="E262" s="2">
        <v>164</v>
      </c>
      <c r="F262" s="2">
        <f t="shared" si="12"/>
        <v>147</v>
      </c>
      <c r="G262" s="10">
        <f t="shared" si="13"/>
        <v>1223.9999999979045</v>
      </c>
      <c r="H262" s="4" t="s">
        <v>423</v>
      </c>
      <c r="I262" s="3">
        <v>1676</v>
      </c>
      <c r="J262" s="2">
        <v>0.9</v>
      </c>
      <c r="K262" s="2">
        <f t="shared" si="14"/>
        <v>670</v>
      </c>
    </row>
    <row r="263" spans="1:11" x14ac:dyDescent="0.4">
      <c r="A263" s="2" t="s">
        <v>618</v>
      </c>
      <c r="B263" s="2" t="s">
        <v>37</v>
      </c>
      <c r="C263" s="4" t="s">
        <v>465</v>
      </c>
      <c r="D263" s="7">
        <f>IF(INT(C263)=0, C263 * 1440, (C263-INT(C263))*1440)</f>
        <v>1204.9999999988358</v>
      </c>
      <c r="E263" s="2">
        <v>144</v>
      </c>
      <c r="F263" s="2">
        <f t="shared" si="12"/>
        <v>129</v>
      </c>
      <c r="G263" s="10">
        <f t="shared" si="13"/>
        <v>1255.0000000046566</v>
      </c>
      <c r="H263" s="4" t="s">
        <v>464</v>
      </c>
      <c r="I263" s="3">
        <v>1904</v>
      </c>
      <c r="J263" s="2">
        <v>0.9</v>
      </c>
      <c r="K263" s="2">
        <f t="shared" si="14"/>
        <v>761</v>
      </c>
    </row>
    <row r="264" spans="1:11" x14ac:dyDescent="0.4">
      <c r="A264" s="2" t="s">
        <v>619</v>
      </c>
      <c r="B264" s="2" t="s">
        <v>155</v>
      </c>
      <c r="C264" s="4" t="s">
        <v>465</v>
      </c>
      <c r="D264" s="7">
        <f>IF(INT(C264)=0, C264 * 1440, (C264-INT(C264))*1440)</f>
        <v>1204.9999999988358</v>
      </c>
      <c r="E264" s="2">
        <v>189</v>
      </c>
      <c r="F264" s="2">
        <f t="shared" si="12"/>
        <v>170</v>
      </c>
      <c r="G264" s="10">
        <f t="shared" si="13"/>
        <v>1219.0000000025611</v>
      </c>
      <c r="H264" s="4" t="s">
        <v>620</v>
      </c>
      <c r="I264" s="3">
        <v>927</v>
      </c>
      <c r="J264" s="2">
        <v>0.9</v>
      </c>
      <c r="K264" s="2">
        <f t="shared" si="14"/>
        <v>370</v>
      </c>
    </row>
    <row r="265" spans="1:11" x14ac:dyDescent="0.4">
      <c r="A265" s="2" t="s">
        <v>621</v>
      </c>
      <c r="B265" s="2" t="s">
        <v>14</v>
      </c>
      <c r="C265" s="4" t="s">
        <v>515</v>
      </c>
      <c r="D265" s="7">
        <f>IF(INT(C265)=0, C265 * 1440, (C265-INT(C265))*1440)</f>
        <v>1215</v>
      </c>
      <c r="E265" s="2">
        <v>314</v>
      </c>
      <c r="F265" s="2">
        <f t="shared" si="12"/>
        <v>282</v>
      </c>
      <c r="G265" s="10">
        <f t="shared" si="13"/>
        <v>91.999999996041879</v>
      </c>
      <c r="H265" s="4" t="s">
        <v>622</v>
      </c>
      <c r="I265" s="3">
        <v>1118</v>
      </c>
      <c r="J265" s="2">
        <v>0.9</v>
      </c>
      <c r="K265" s="2">
        <f t="shared" si="14"/>
        <v>447</v>
      </c>
    </row>
    <row r="266" spans="1:11" x14ac:dyDescent="0.4">
      <c r="A266" s="2" t="s">
        <v>623</v>
      </c>
      <c r="B266" s="2" t="s">
        <v>84</v>
      </c>
      <c r="C266" s="4" t="s">
        <v>515</v>
      </c>
      <c r="D266" s="7">
        <f>IF(INT(C266)=0, C266 * 1440, (C266-INT(C266))*1440)</f>
        <v>1215</v>
      </c>
      <c r="E266" s="2">
        <v>164</v>
      </c>
      <c r="F266" s="2">
        <f t="shared" si="12"/>
        <v>147</v>
      </c>
      <c r="G266" s="10">
        <f t="shared" si="13"/>
        <v>1257.0000000006985</v>
      </c>
      <c r="H266" s="4" t="s">
        <v>481</v>
      </c>
      <c r="I266" s="3">
        <v>1269</v>
      </c>
      <c r="J266" s="2">
        <v>0.9</v>
      </c>
      <c r="K266" s="2">
        <f t="shared" si="14"/>
        <v>507</v>
      </c>
    </row>
    <row r="267" spans="1:11" x14ac:dyDescent="0.4">
      <c r="A267" s="2" t="s">
        <v>624</v>
      </c>
      <c r="B267" s="2" t="s">
        <v>24</v>
      </c>
      <c r="C267" s="4" t="s">
        <v>515</v>
      </c>
      <c r="D267" s="7">
        <f>IF(INT(C267)=0, C267 * 1440, (C267-INT(C267))*1440)</f>
        <v>1215</v>
      </c>
      <c r="E267" s="2">
        <v>160</v>
      </c>
      <c r="F267" s="2">
        <f t="shared" si="12"/>
        <v>144</v>
      </c>
      <c r="G267" s="10">
        <f t="shared" si="13"/>
        <v>1216.9999999960419</v>
      </c>
      <c r="H267" s="4" t="s">
        <v>405</v>
      </c>
      <c r="I267" s="3">
        <v>658</v>
      </c>
      <c r="J267" s="2">
        <v>0.9</v>
      </c>
      <c r="K267" s="2">
        <f t="shared" si="14"/>
        <v>263</v>
      </c>
    </row>
    <row r="268" spans="1:11" x14ac:dyDescent="0.4">
      <c r="A268" s="2" t="s">
        <v>625</v>
      </c>
      <c r="B268" s="2" t="s">
        <v>5</v>
      </c>
      <c r="C268" s="4" t="s">
        <v>399</v>
      </c>
      <c r="D268" s="7">
        <f>IF(INT(C268)=0, C268 * 1440, (C268-INT(C268))*1440)</f>
        <v>1219.9999999953434</v>
      </c>
      <c r="E268" s="2">
        <v>178</v>
      </c>
      <c r="F268" s="2">
        <f t="shared" si="12"/>
        <v>160</v>
      </c>
      <c r="G268" s="10">
        <f t="shared" si="13"/>
        <v>1300.0000000046566</v>
      </c>
      <c r="H268" s="4" t="s">
        <v>613</v>
      </c>
      <c r="I268" s="3">
        <v>454</v>
      </c>
      <c r="J268" s="2">
        <v>0.9</v>
      </c>
      <c r="K268" s="2">
        <f t="shared" si="14"/>
        <v>181</v>
      </c>
    </row>
    <row r="269" spans="1:11" x14ac:dyDescent="0.4">
      <c r="A269" s="2" t="s">
        <v>203</v>
      </c>
      <c r="B269" s="2" t="s">
        <v>31</v>
      </c>
      <c r="C269" s="4" t="s">
        <v>399</v>
      </c>
      <c r="D269" s="7">
        <f>IF(INT(C269)=0, C269 * 1440, (C269-INT(C269))*1440)</f>
        <v>1219.9999999953434</v>
      </c>
      <c r="E269" s="2">
        <v>189</v>
      </c>
      <c r="F269" s="2">
        <f t="shared" si="12"/>
        <v>170</v>
      </c>
      <c r="G269" s="10">
        <f t="shared" si="13"/>
        <v>1239.9999999976717</v>
      </c>
      <c r="H269" s="4" t="s">
        <v>339</v>
      </c>
      <c r="I269" s="3">
        <v>257</v>
      </c>
      <c r="J269" s="2">
        <v>0.9</v>
      </c>
      <c r="K269" s="2">
        <f t="shared" si="14"/>
        <v>102</v>
      </c>
    </row>
    <row r="270" spans="1:11" x14ac:dyDescent="0.4">
      <c r="A270" s="2" t="s">
        <v>626</v>
      </c>
      <c r="B270" s="2" t="s">
        <v>37</v>
      </c>
      <c r="C270" s="4" t="s">
        <v>355</v>
      </c>
      <c r="D270" s="7">
        <f>IF(INT(C270)=0, C270 * 1440, (C270-INT(C270))*1440)</f>
        <v>1225.0000000011642</v>
      </c>
      <c r="E270" s="2">
        <v>144</v>
      </c>
      <c r="F270" s="2">
        <f t="shared" si="12"/>
        <v>129</v>
      </c>
      <c r="G270" s="10">
        <f t="shared" si="13"/>
        <v>1319.0000000037253</v>
      </c>
      <c r="H270" s="4" t="s">
        <v>510</v>
      </c>
      <c r="I270" s="3">
        <v>1199</v>
      </c>
      <c r="J270" s="2">
        <v>0.9</v>
      </c>
      <c r="K270" s="2">
        <f t="shared" si="14"/>
        <v>479</v>
      </c>
    </row>
    <row r="271" spans="1:11" x14ac:dyDescent="0.4">
      <c r="A271" s="2" t="s">
        <v>627</v>
      </c>
      <c r="B271" s="2" t="s">
        <v>5</v>
      </c>
      <c r="C271" s="4" t="s">
        <v>355</v>
      </c>
      <c r="D271" s="7">
        <f>IF(INT(C271)=0, C271 * 1440, (C271-INT(C271))*1440)</f>
        <v>1225.0000000011642</v>
      </c>
      <c r="E271" s="2">
        <v>178</v>
      </c>
      <c r="F271" s="2">
        <f t="shared" si="12"/>
        <v>160</v>
      </c>
      <c r="G271" s="10">
        <f t="shared" si="13"/>
        <v>1380.9999999962747</v>
      </c>
      <c r="H271" s="4" t="s">
        <v>606</v>
      </c>
      <c r="I271" s="3">
        <v>1151</v>
      </c>
      <c r="J271" s="2">
        <v>0.9</v>
      </c>
      <c r="K271" s="2">
        <f t="shared" si="14"/>
        <v>460</v>
      </c>
    </row>
    <row r="272" spans="1:11" x14ac:dyDescent="0.4">
      <c r="A272" s="2" t="s">
        <v>628</v>
      </c>
      <c r="B272" s="2" t="s">
        <v>84</v>
      </c>
      <c r="C272" s="4" t="s">
        <v>355</v>
      </c>
      <c r="D272" s="7">
        <f>IF(INT(C272)=0, C272 * 1440, (C272-INT(C272))*1440)</f>
        <v>1225.0000000011642</v>
      </c>
      <c r="E272" s="2">
        <v>164</v>
      </c>
      <c r="F272" s="2">
        <f t="shared" si="12"/>
        <v>147</v>
      </c>
      <c r="G272" s="10">
        <f t="shared" si="13"/>
        <v>1229.0000000037253</v>
      </c>
      <c r="H272" s="4" t="s">
        <v>457</v>
      </c>
      <c r="I272" s="3">
        <v>1702</v>
      </c>
      <c r="J272" s="2">
        <v>0.9</v>
      </c>
      <c r="K272" s="2">
        <f t="shared" si="14"/>
        <v>680</v>
      </c>
    </row>
    <row r="273" spans="1:11" x14ac:dyDescent="0.4">
      <c r="A273" s="2" t="s">
        <v>629</v>
      </c>
      <c r="B273" s="2" t="s">
        <v>45</v>
      </c>
      <c r="C273" s="4" t="s">
        <v>437</v>
      </c>
      <c r="D273" s="7">
        <f>IF(INT(C273)=0, C273 * 1440, (C273-INT(C273))*1440)</f>
        <v>1229.9999999965075</v>
      </c>
      <c r="E273" s="2">
        <v>152</v>
      </c>
      <c r="F273" s="2">
        <f t="shared" si="12"/>
        <v>136</v>
      </c>
      <c r="G273" s="10">
        <f t="shared" si="13"/>
        <v>1232.999999995809</v>
      </c>
      <c r="H273" s="4" t="s">
        <v>508</v>
      </c>
      <c r="I273" s="3">
        <v>669</v>
      </c>
      <c r="J273" s="2">
        <v>0.9</v>
      </c>
      <c r="K273" s="2">
        <f t="shared" si="14"/>
        <v>267</v>
      </c>
    </row>
    <row r="274" spans="1:11" x14ac:dyDescent="0.4">
      <c r="A274" s="2" t="s">
        <v>632</v>
      </c>
      <c r="B274" s="2" t="s">
        <v>24</v>
      </c>
      <c r="C274" s="4" t="s">
        <v>549</v>
      </c>
      <c r="D274" s="7">
        <f>IF(INT(C274)=0, C274 * 1440, (C274-INT(C274))*1440)</f>
        <v>1235.0000000023283</v>
      </c>
      <c r="E274" s="2">
        <v>160</v>
      </c>
      <c r="F274" s="2">
        <f t="shared" si="12"/>
        <v>144</v>
      </c>
      <c r="G274" s="10">
        <f t="shared" si="13"/>
        <v>1291.9999999995343</v>
      </c>
      <c r="H274" s="4" t="s">
        <v>633</v>
      </c>
      <c r="I274" s="3">
        <v>827</v>
      </c>
      <c r="J274" s="2">
        <v>0.9</v>
      </c>
      <c r="K274" s="2">
        <f t="shared" si="14"/>
        <v>330</v>
      </c>
    </row>
    <row r="275" spans="1:11" x14ac:dyDescent="0.4">
      <c r="A275" s="2" t="s">
        <v>635</v>
      </c>
      <c r="B275" s="2" t="s">
        <v>31</v>
      </c>
      <c r="C275" s="4" t="s">
        <v>636</v>
      </c>
      <c r="D275" s="7">
        <f>IF(INT(C275)=0, C275 * 1440, (C275-INT(C275))*1440)</f>
        <v>1249.9999999988358</v>
      </c>
      <c r="E275" s="2">
        <v>189</v>
      </c>
      <c r="F275" s="2">
        <f t="shared" si="12"/>
        <v>170</v>
      </c>
      <c r="G275" s="10">
        <f t="shared" si="13"/>
        <v>1251.9999999948777</v>
      </c>
      <c r="H275" s="4" t="s">
        <v>421</v>
      </c>
      <c r="I275" s="3">
        <v>1303</v>
      </c>
      <c r="J275" s="2">
        <v>0.9</v>
      </c>
      <c r="K275" s="2">
        <f t="shared" si="14"/>
        <v>521</v>
      </c>
    </row>
    <row r="276" spans="1:11" x14ac:dyDescent="0.4">
      <c r="A276" s="2" t="s">
        <v>637</v>
      </c>
      <c r="B276" s="2" t="s">
        <v>274</v>
      </c>
      <c r="C276" s="4" t="s">
        <v>636</v>
      </c>
      <c r="D276" s="7">
        <f>IF(INT(C276)=0, C276 * 1440, (C276-INT(C276))*1440)</f>
        <v>1249.9999999988358</v>
      </c>
      <c r="E276" s="2">
        <v>335</v>
      </c>
      <c r="F276" s="2">
        <f t="shared" si="12"/>
        <v>301</v>
      </c>
      <c r="G276" s="10">
        <f t="shared" si="13"/>
        <v>30.99999999627471</v>
      </c>
      <c r="H276" s="4" t="s">
        <v>638</v>
      </c>
      <c r="I276" s="3">
        <v>774</v>
      </c>
      <c r="J276" s="2">
        <v>0.9</v>
      </c>
      <c r="K276" s="2">
        <f t="shared" si="14"/>
        <v>309</v>
      </c>
    </row>
    <row r="277" spans="1:11" x14ac:dyDescent="0.4">
      <c r="A277" s="2" t="s">
        <v>641</v>
      </c>
      <c r="B277" s="2" t="s">
        <v>5</v>
      </c>
      <c r="C277" s="4" t="s">
        <v>640</v>
      </c>
      <c r="D277" s="7">
        <f>IF(INT(C277)=0, C277 * 1440, (C277-INT(C277))*1440)</f>
        <v>1260</v>
      </c>
      <c r="E277" s="2">
        <v>178</v>
      </c>
      <c r="F277" s="2">
        <f t="shared" si="12"/>
        <v>160</v>
      </c>
      <c r="G277" s="10">
        <f t="shared" si="13"/>
        <v>1275.9999999997672</v>
      </c>
      <c r="H277" s="4" t="s">
        <v>642</v>
      </c>
      <c r="I277" s="3">
        <v>918</v>
      </c>
      <c r="J277" s="2">
        <v>0.9</v>
      </c>
      <c r="K277" s="2">
        <f t="shared" si="14"/>
        <v>367</v>
      </c>
    </row>
    <row r="278" spans="1:11" x14ac:dyDescent="0.4">
      <c r="A278" s="2" t="s">
        <v>644</v>
      </c>
      <c r="B278" s="2" t="s">
        <v>9</v>
      </c>
      <c r="C278" s="4" t="s">
        <v>640</v>
      </c>
      <c r="D278" s="7">
        <f>IF(INT(C278)=0, C278 * 1440, (C278-INT(C278))*1440)</f>
        <v>1260</v>
      </c>
      <c r="E278" s="2">
        <v>283</v>
      </c>
      <c r="F278" s="2">
        <f t="shared" si="12"/>
        <v>254</v>
      </c>
      <c r="G278" s="10">
        <f t="shared" si="13"/>
        <v>1275.9999999997672</v>
      </c>
      <c r="H278" s="4" t="s">
        <v>642</v>
      </c>
      <c r="I278" s="3">
        <v>4220</v>
      </c>
      <c r="J278" s="2">
        <v>0.9</v>
      </c>
      <c r="K278" s="2">
        <f t="shared" si="14"/>
        <v>1688</v>
      </c>
    </row>
    <row r="279" spans="1:11" x14ac:dyDescent="0.4">
      <c r="A279" s="2" t="s">
        <v>645</v>
      </c>
      <c r="B279" s="2" t="s">
        <v>24</v>
      </c>
      <c r="C279" s="4" t="s">
        <v>486</v>
      </c>
      <c r="D279" s="7">
        <f>IF(INT(C279)=0, C279 * 1440, (C279-INT(C279))*1440)</f>
        <v>1264.9999999953434</v>
      </c>
      <c r="E279" s="2">
        <v>160</v>
      </c>
      <c r="F279" s="2">
        <f t="shared" si="12"/>
        <v>144</v>
      </c>
      <c r="G279" s="10">
        <f t="shared" si="13"/>
        <v>1383.9999999955762</v>
      </c>
      <c r="H279" s="4" t="s">
        <v>646</v>
      </c>
      <c r="I279" s="3">
        <v>314</v>
      </c>
      <c r="J279" s="2">
        <v>0.9</v>
      </c>
      <c r="K279" s="2">
        <f t="shared" si="14"/>
        <v>125</v>
      </c>
    </row>
    <row r="280" spans="1:11" x14ac:dyDescent="0.4">
      <c r="A280" s="2" t="s">
        <v>648</v>
      </c>
      <c r="B280" s="2" t="s">
        <v>37</v>
      </c>
      <c r="C280" s="4" t="s">
        <v>494</v>
      </c>
      <c r="D280" s="7">
        <f>IF(INT(C280)=0, C280 * 1440, (C280-INT(C280))*1440)</f>
        <v>1270.0000000011642</v>
      </c>
      <c r="E280" s="2">
        <v>144</v>
      </c>
      <c r="F280" s="2">
        <f t="shared" si="12"/>
        <v>129</v>
      </c>
      <c r="G280" s="10">
        <f t="shared" si="13"/>
        <v>1437.0000000006985</v>
      </c>
      <c r="H280" s="4" t="s">
        <v>649</v>
      </c>
      <c r="I280" s="3">
        <v>726</v>
      </c>
      <c r="J280" s="2">
        <v>0.9</v>
      </c>
      <c r="K280" s="2">
        <f t="shared" si="14"/>
        <v>290</v>
      </c>
    </row>
    <row r="281" spans="1:11" x14ac:dyDescent="0.4">
      <c r="A281" s="2" t="s">
        <v>650</v>
      </c>
      <c r="B281" s="2" t="s">
        <v>24</v>
      </c>
      <c r="C281" s="4" t="s">
        <v>494</v>
      </c>
      <c r="D281" s="7">
        <f>IF(INT(C281)=0, C281 * 1440, (C281-INT(C281))*1440)</f>
        <v>1270.0000000011642</v>
      </c>
      <c r="E281" s="2">
        <v>160</v>
      </c>
      <c r="F281" s="2">
        <f t="shared" si="12"/>
        <v>144</v>
      </c>
      <c r="G281" s="10">
        <f t="shared" si="13"/>
        <v>1280.0000000023283</v>
      </c>
      <c r="H281" s="4" t="s">
        <v>643</v>
      </c>
      <c r="I281" s="3">
        <v>1908</v>
      </c>
      <c r="J281" s="2">
        <v>0.9</v>
      </c>
      <c r="K281" s="2">
        <f t="shared" si="14"/>
        <v>763</v>
      </c>
    </row>
    <row r="282" spans="1:11" x14ac:dyDescent="0.4">
      <c r="A282" s="2" t="s">
        <v>651</v>
      </c>
      <c r="B282" s="2" t="s">
        <v>24</v>
      </c>
      <c r="C282" s="4" t="s">
        <v>494</v>
      </c>
      <c r="D282" s="7">
        <f>IF(INT(C282)=0, C282 * 1440, (C282-INT(C282))*1440)</f>
        <v>1270.0000000011642</v>
      </c>
      <c r="E282" s="2">
        <v>160</v>
      </c>
      <c r="F282" s="2">
        <f t="shared" si="12"/>
        <v>144</v>
      </c>
      <c r="G282" s="10">
        <f t="shared" si="13"/>
        <v>114.00000000488944</v>
      </c>
      <c r="H282" s="4" t="s">
        <v>652</v>
      </c>
      <c r="I282" s="3">
        <v>780</v>
      </c>
      <c r="J282" s="2">
        <v>0.9</v>
      </c>
      <c r="K282" s="2">
        <f t="shared" si="14"/>
        <v>312</v>
      </c>
    </row>
    <row r="283" spans="1:11" x14ac:dyDescent="0.4">
      <c r="A283" s="2" t="s">
        <v>654</v>
      </c>
      <c r="B283" s="2" t="s">
        <v>274</v>
      </c>
      <c r="C283" s="4" t="s">
        <v>653</v>
      </c>
      <c r="D283" s="7">
        <f>IF(INT(C283)=0, C283 * 1440, (C283-INT(C283))*1440)</f>
        <v>1274.9999999965075</v>
      </c>
      <c r="E283" s="2">
        <v>335</v>
      </c>
      <c r="F283" s="2">
        <f t="shared" si="12"/>
        <v>301</v>
      </c>
      <c r="G283" s="10">
        <f t="shared" si="13"/>
        <v>1277.0000000030268</v>
      </c>
      <c r="H283" s="4" t="s">
        <v>543</v>
      </c>
      <c r="I283" s="3">
        <v>3925</v>
      </c>
      <c r="J283" s="2">
        <v>0.9</v>
      </c>
      <c r="K283" s="2">
        <f t="shared" si="14"/>
        <v>1570</v>
      </c>
    </row>
    <row r="284" spans="1:11" x14ac:dyDescent="0.4">
      <c r="A284" s="2" t="s">
        <v>655</v>
      </c>
      <c r="B284" s="2" t="s">
        <v>68</v>
      </c>
      <c r="C284" s="4" t="s">
        <v>643</v>
      </c>
      <c r="D284" s="7">
        <f>IF(INT(C284)=0, C284 * 1440, (C284-INT(C284))*1440)</f>
        <v>1280.0000000023283</v>
      </c>
      <c r="E284" s="2">
        <v>169</v>
      </c>
      <c r="F284" s="2">
        <f t="shared" si="12"/>
        <v>152</v>
      </c>
      <c r="G284" s="10">
        <f t="shared" si="13"/>
        <v>1319.9999999965075</v>
      </c>
      <c r="H284" s="4" t="s">
        <v>647</v>
      </c>
      <c r="I284" s="3">
        <v>480</v>
      </c>
      <c r="J284" s="2">
        <v>0.9</v>
      </c>
      <c r="K284" s="2">
        <f t="shared" si="14"/>
        <v>192</v>
      </c>
    </row>
    <row r="285" spans="1:11" x14ac:dyDescent="0.4">
      <c r="A285" s="2" t="s">
        <v>448</v>
      </c>
      <c r="B285" s="2" t="s">
        <v>24</v>
      </c>
      <c r="C285" s="4" t="s">
        <v>518</v>
      </c>
      <c r="D285" s="7">
        <f>IF(INT(C285)=0, C285 * 1440, (C285-INT(C285))*1440)</f>
        <v>1284.9999999976717</v>
      </c>
      <c r="E285" s="2">
        <v>160</v>
      </c>
      <c r="F285" s="2">
        <f t="shared" si="12"/>
        <v>144</v>
      </c>
      <c r="G285" s="10">
        <f t="shared" si="13"/>
        <v>1289.0000000002328</v>
      </c>
      <c r="H285" s="4" t="s">
        <v>631</v>
      </c>
      <c r="I285" s="3">
        <v>207</v>
      </c>
      <c r="J285" s="2">
        <v>0.9</v>
      </c>
      <c r="K285" s="2">
        <f t="shared" si="14"/>
        <v>82</v>
      </c>
    </row>
    <row r="286" spans="1:11" x14ac:dyDescent="0.4">
      <c r="A286" s="2" t="s">
        <v>656</v>
      </c>
      <c r="B286" s="2" t="s">
        <v>5</v>
      </c>
      <c r="C286" s="4" t="s">
        <v>657</v>
      </c>
      <c r="D286" s="7">
        <f>IF(INT(C286)=0, C286 * 1440, (C286-INT(C286))*1440)</f>
        <v>1290.0000000034925</v>
      </c>
      <c r="E286" s="2">
        <v>178</v>
      </c>
      <c r="F286" s="2">
        <f t="shared" si="12"/>
        <v>160</v>
      </c>
      <c r="G286" s="10">
        <f t="shared" si="13"/>
        <v>1291.9999999995343</v>
      </c>
      <c r="H286" s="4" t="s">
        <v>633</v>
      </c>
      <c r="I286" s="3">
        <v>592</v>
      </c>
      <c r="J286" s="2">
        <v>0.9</v>
      </c>
      <c r="K286" s="2">
        <f t="shared" si="14"/>
        <v>236</v>
      </c>
    </row>
    <row r="287" spans="1:11" x14ac:dyDescent="0.4">
      <c r="A287" s="2" t="s">
        <v>659</v>
      </c>
      <c r="B287" s="2" t="s">
        <v>155</v>
      </c>
      <c r="C287" s="4" t="s">
        <v>658</v>
      </c>
      <c r="D287" s="7">
        <f>IF(INT(C287)=0, C287 * 1440, (C287-INT(C287))*1440)</f>
        <v>1305</v>
      </c>
      <c r="E287" s="2">
        <v>189</v>
      </c>
      <c r="F287" s="2">
        <f t="shared" si="12"/>
        <v>170</v>
      </c>
      <c r="G287" s="10">
        <f t="shared" si="13"/>
        <v>1335.9999999962747</v>
      </c>
      <c r="H287" s="4" t="s">
        <v>578</v>
      </c>
      <c r="I287" s="3">
        <v>671</v>
      </c>
      <c r="J287" s="2">
        <v>0.9</v>
      </c>
      <c r="K287" s="2">
        <f t="shared" si="14"/>
        <v>268</v>
      </c>
    </row>
    <row r="288" spans="1:11" x14ac:dyDescent="0.4">
      <c r="A288" s="2" t="s">
        <v>660</v>
      </c>
      <c r="B288" s="2" t="s">
        <v>14</v>
      </c>
      <c r="C288" s="4" t="s">
        <v>661</v>
      </c>
      <c r="D288" s="7">
        <f>IF(INT(C288)=0, C288 * 1440, (C288-INT(C288))*1440)</f>
        <v>1309.9999999953434</v>
      </c>
      <c r="E288" s="2">
        <v>314</v>
      </c>
      <c r="F288" s="2">
        <f t="shared" si="12"/>
        <v>282</v>
      </c>
      <c r="G288" s="10">
        <f t="shared" si="13"/>
        <v>1419.9999999976717</v>
      </c>
      <c r="H288" s="4" t="s">
        <v>662</v>
      </c>
      <c r="I288" s="3">
        <v>728</v>
      </c>
      <c r="J288" s="2">
        <v>0.9</v>
      </c>
      <c r="K288" s="2">
        <f t="shared" si="14"/>
        <v>291</v>
      </c>
    </row>
    <row r="289" spans="1:11" x14ac:dyDescent="0.4">
      <c r="A289" s="2" t="s">
        <v>663</v>
      </c>
      <c r="B289" s="2" t="s">
        <v>274</v>
      </c>
      <c r="C289" s="4" t="s">
        <v>661</v>
      </c>
      <c r="D289" s="7">
        <f>IF(INT(C289)=0, C289 * 1440, (C289-INT(C289))*1440)</f>
        <v>1309.9999999953434</v>
      </c>
      <c r="E289" s="2">
        <v>335</v>
      </c>
      <c r="F289" s="2">
        <f t="shared" si="12"/>
        <v>301</v>
      </c>
      <c r="G289" s="10">
        <f t="shared" si="13"/>
        <v>207.00000000419095</v>
      </c>
      <c r="H289" s="4" t="s">
        <v>664</v>
      </c>
      <c r="I289" s="3">
        <v>684</v>
      </c>
      <c r="J289" s="2">
        <v>0.9</v>
      </c>
      <c r="K289" s="2">
        <f t="shared" si="14"/>
        <v>273</v>
      </c>
    </row>
    <row r="290" spans="1:11" x14ac:dyDescent="0.4">
      <c r="A290" s="2" t="s">
        <v>665</v>
      </c>
      <c r="B290" s="2" t="s">
        <v>109</v>
      </c>
      <c r="C290" s="4" t="s">
        <v>661</v>
      </c>
      <c r="D290" s="7">
        <f>IF(INT(C290)=0, C290 * 1440, (C290-INT(C290))*1440)</f>
        <v>1309.9999999953434</v>
      </c>
      <c r="E290" s="2">
        <v>138</v>
      </c>
      <c r="F290" s="2">
        <f t="shared" si="12"/>
        <v>124</v>
      </c>
      <c r="G290" s="10">
        <f t="shared" si="13"/>
        <v>1325.9999999951106</v>
      </c>
      <c r="H290" s="4" t="s">
        <v>666</v>
      </c>
      <c r="I290" s="3">
        <v>834</v>
      </c>
      <c r="J290" s="2">
        <v>0.9</v>
      </c>
      <c r="K290" s="2">
        <f t="shared" si="14"/>
        <v>333</v>
      </c>
    </row>
    <row r="291" spans="1:11" x14ac:dyDescent="0.4">
      <c r="A291" s="2" t="s">
        <v>667</v>
      </c>
      <c r="B291" s="2" t="s">
        <v>24</v>
      </c>
      <c r="C291" s="4" t="s">
        <v>661</v>
      </c>
      <c r="D291" s="7">
        <f>IF(INT(C291)=0, C291 * 1440, (C291-INT(C291))*1440)</f>
        <v>1309.9999999953434</v>
      </c>
      <c r="E291" s="2">
        <v>160</v>
      </c>
      <c r="F291" s="2">
        <f t="shared" si="12"/>
        <v>144</v>
      </c>
      <c r="G291" s="10">
        <f t="shared" si="13"/>
        <v>46.000000003259629</v>
      </c>
      <c r="H291" s="4" t="s">
        <v>582</v>
      </c>
      <c r="I291" s="3">
        <v>540</v>
      </c>
      <c r="J291" s="2">
        <v>0.9</v>
      </c>
      <c r="K291" s="2">
        <f t="shared" si="14"/>
        <v>216</v>
      </c>
    </row>
    <row r="292" spans="1:11" x14ac:dyDescent="0.4">
      <c r="A292" s="2" t="s">
        <v>668</v>
      </c>
      <c r="B292" s="2" t="s">
        <v>5</v>
      </c>
      <c r="C292" s="4" t="s">
        <v>546</v>
      </c>
      <c r="D292" s="7">
        <f>IF(INT(C292)=0, C292 * 1440, (C292-INT(C292))*1440)</f>
        <v>1315.0000000011642</v>
      </c>
      <c r="E292" s="2">
        <v>178</v>
      </c>
      <c r="F292" s="2">
        <f t="shared" si="12"/>
        <v>160</v>
      </c>
      <c r="G292" s="10">
        <f t="shared" si="13"/>
        <v>46.999999996041879</v>
      </c>
      <c r="H292" s="4" t="s">
        <v>634</v>
      </c>
      <c r="I292" s="3">
        <v>756</v>
      </c>
      <c r="J292" s="2">
        <v>0.9</v>
      </c>
      <c r="K292" s="2">
        <f t="shared" si="14"/>
        <v>302</v>
      </c>
    </row>
    <row r="293" spans="1:11" x14ac:dyDescent="0.4">
      <c r="A293" s="2" t="s">
        <v>669</v>
      </c>
      <c r="B293" s="2" t="s">
        <v>31</v>
      </c>
      <c r="C293" s="4" t="s">
        <v>546</v>
      </c>
      <c r="D293" s="7">
        <f>IF(INT(C293)=0, C293 * 1440, (C293-INT(C293))*1440)</f>
        <v>1315.0000000011642</v>
      </c>
      <c r="E293" s="2">
        <v>189</v>
      </c>
      <c r="F293" s="2">
        <f t="shared" si="12"/>
        <v>170</v>
      </c>
      <c r="G293" s="10">
        <f t="shared" si="13"/>
        <v>187.00000000186265</v>
      </c>
      <c r="H293" s="4" t="s">
        <v>670</v>
      </c>
      <c r="I293" s="3">
        <v>850</v>
      </c>
      <c r="J293" s="2">
        <v>0.9</v>
      </c>
      <c r="K293" s="2">
        <f t="shared" si="14"/>
        <v>340</v>
      </c>
    </row>
    <row r="294" spans="1:11" x14ac:dyDescent="0.4">
      <c r="A294" s="2" t="s">
        <v>671</v>
      </c>
      <c r="B294" s="2" t="s">
        <v>31</v>
      </c>
      <c r="C294" s="4" t="s">
        <v>560</v>
      </c>
      <c r="D294" s="7">
        <f>IF(INT(C294)=0, C294 * 1440, (C294-INT(C294))*1440)</f>
        <v>1335.0000000034925</v>
      </c>
      <c r="E294" s="2">
        <v>189</v>
      </c>
      <c r="F294" s="2">
        <f t="shared" si="12"/>
        <v>170</v>
      </c>
      <c r="G294" s="10">
        <f t="shared" si="13"/>
        <v>245.99999999511056</v>
      </c>
      <c r="H294" s="4" t="s">
        <v>672</v>
      </c>
      <c r="I294" s="3">
        <v>675</v>
      </c>
      <c r="J294" s="2">
        <v>0.9</v>
      </c>
      <c r="K294" s="2">
        <f t="shared" si="14"/>
        <v>270</v>
      </c>
    </row>
    <row r="295" spans="1:11" x14ac:dyDescent="0.4">
      <c r="A295" s="2" t="s">
        <v>673</v>
      </c>
      <c r="B295" s="2" t="s">
        <v>24</v>
      </c>
      <c r="C295" s="4" t="s">
        <v>560</v>
      </c>
      <c r="D295" s="7">
        <f>IF(INT(C295)=0, C295 * 1440, (C295-INT(C295))*1440)</f>
        <v>1335.0000000034925</v>
      </c>
      <c r="E295" s="2">
        <v>160</v>
      </c>
      <c r="F295" s="2">
        <f t="shared" si="12"/>
        <v>144</v>
      </c>
      <c r="G295" s="10">
        <f t="shared" si="13"/>
        <v>1347.0000000006985</v>
      </c>
      <c r="H295" s="4" t="s">
        <v>630</v>
      </c>
      <c r="I295" s="3">
        <v>916</v>
      </c>
      <c r="J295" s="2">
        <v>0.9</v>
      </c>
      <c r="K295" s="2">
        <f t="shared" si="14"/>
        <v>366</v>
      </c>
    </row>
    <row r="296" spans="1:11" x14ac:dyDescent="0.4">
      <c r="A296" s="2" t="s">
        <v>674</v>
      </c>
      <c r="B296" s="2" t="s">
        <v>24</v>
      </c>
      <c r="C296" s="4" t="s">
        <v>560</v>
      </c>
      <c r="D296" s="7">
        <f>IF(INT(C296)=0, C296 * 1440, (C296-INT(C296))*1440)</f>
        <v>1335.0000000034925</v>
      </c>
      <c r="E296" s="2">
        <v>160</v>
      </c>
      <c r="F296" s="2">
        <f t="shared" si="12"/>
        <v>144</v>
      </c>
      <c r="G296" s="10">
        <f t="shared" si="13"/>
        <v>1338.000000002794</v>
      </c>
      <c r="H296" s="4" t="s">
        <v>531</v>
      </c>
      <c r="I296" s="3">
        <v>1036</v>
      </c>
      <c r="J296" s="2">
        <v>0.9</v>
      </c>
      <c r="K296" s="2">
        <f t="shared" si="14"/>
        <v>414</v>
      </c>
    </row>
    <row r="297" spans="1:11" x14ac:dyDescent="0.4">
      <c r="A297" s="2" t="s">
        <v>675</v>
      </c>
      <c r="B297" s="2" t="s">
        <v>5</v>
      </c>
      <c r="C297" s="4" t="s">
        <v>676</v>
      </c>
      <c r="D297" s="7">
        <f>IF(INT(C297)=0, C297 * 1440, (C297-INT(C297))*1440)</f>
        <v>1339.9999999988358</v>
      </c>
      <c r="E297" s="2">
        <v>178</v>
      </c>
      <c r="F297" s="2">
        <f t="shared" si="12"/>
        <v>160</v>
      </c>
      <c r="G297" s="10">
        <f t="shared" si="13"/>
        <v>1341.0000000020955</v>
      </c>
      <c r="H297" s="4" t="s">
        <v>677</v>
      </c>
      <c r="I297" s="3">
        <v>626</v>
      </c>
      <c r="J297" s="2">
        <v>0.9</v>
      </c>
      <c r="K297" s="2">
        <f t="shared" si="14"/>
        <v>250</v>
      </c>
    </row>
    <row r="298" spans="1:11" x14ac:dyDescent="0.4">
      <c r="A298" s="2" t="s">
        <v>678</v>
      </c>
      <c r="B298" s="2" t="s">
        <v>42</v>
      </c>
      <c r="C298" s="4" t="s">
        <v>591</v>
      </c>
      <c r="D298" s="7">
        <f>IF(INT(C298)=0, C298 * 1440, (C298-INT(C298))*1440)</f>
        <v>1345.0000000046566</v>
      </c>
      <c r="E298" s="2">
        <v>172</v>
      </c>
      <c r="F298" s="2">
        <f t="shared" si="12"/>
        <v>154</v>
      </c>
      <c r="G298" s="10">
        <f t="shared" si="13"/>
        <v>95.999999998603016</v>
      </c>
      <c r="H298" s="4" t="s">
        <v>679</v>
      </c>
      <c r="I298" s="3">
        <v>541</v>
      </c>
      <c r="J298" s="2">
        <v>0.9</v>
      </c>
      <c r="K298" s="2">
        <f t="shared" si="14"/>
        <v>216</v>
      </c>
    </row>
    <row r="299" spans="1:11" x14ac:dyDescent="0.4">
      <c r="A299" s="2" t="s">
        <v>682</v>
      </c>
      <c r="B299" s="2" t="s">
        <v>9</v>
      </c>
      <c r="C299" s="4" t="s">
        <v>681</v>
      </c>
      <c r="D299" s="7">
        <f>IF(INT(C299)=0, C299 * 1440, (C299-INT(C299))*1440)</f>
        <v>1364.9999999965075</v>
      </c>
      <c r="E299" s="2">
        <v>283</v>
      </c>
      <c r="F299" s="2">
        <f t="shared" si="12"/>
        <v>254</v>
      </c>
      <c r="G299" s="10">
        <f t="shared" si="13"/>
        <v>249.00000000488944</v>
      </c>
      <c r="H299" s="4" t="s">
        <v>683</v>
      </c>
      <c r="I299" s="3">
        <v>1133</v>
      </c>
      <c r="J299" s="2">
        <v>0.9</v>
      </c>
      <c r="K299" s="2">
        <f t="shared" si="14"/>
        <v>453</v>
      </c>
    </row>
    <row r="300" spans="1:11" x14ac:dyDescent="0.4">
      <c r="A300" s="2" t="s">
        <v>625</v>
      </c>
      <c r="B300" s="2" t="s">
        <v>5</v>
      </c>
      <c r="C300" s="4" t="s">
        <v>684</v>
      </c>
      <c r="D300" s="7">
        <f>IF(INT(C300)=0, C300 * 1440, (C300-INT(C300))*1440)</f>
        <v>1374.9999999976717</v>
      </c>
      <c r="E300" s="2">
        <v>178</v>
      </c>
      <c r="F300" s="2">
        <f t="shared" si="12"/>
        <v>160</v>
      </c>
      <c r="G300" s="10">
        <f t="shared" si="13"/>
        <v>1438.9999999967404</v>
      </c>
      <c r="H300" s="4" t="s">
        <v>680</v>
      </c>
      <c r="I300" s="3">
        <v>301</v>
      </c>
      <c r="J300" s="2">
        <v>0.9</v>
      </c>
      <c r="K300" s="2">
        <f t="shared" si="14"/>
        <v>120</v>
      </c>
    </row>
    <row r="301" spans="1:11" x14ac:dyDescent="0.4">
      <c r="A301" s="2" t="s">
        <v>685</v>
      </c>
      <c r="B301" s="2" t="s">
        <v>42</v>
      </c>
      <c r="C301" s="4" t="s">
        <v>639</v>
      </c>
      <c r="D301" s="7">
        <f>IF(INT(C301)=0, C301 * 1440, (C301-INT(C301))*1440)</f>
        <v>1384.9999999988358</v>
      </c>
      <c r="E301" s="2">
        <v>172</v>
      </c>
      <c r="F301" s="2">
        <f t="shared" si="12"/>
        <v>154</v>
      </c>
      <c r="G301" s="10">
        <f t="shared" si="13"/>
        <v>82.999999998137355</v>
      </c>
      <c r="H301" s="4" t="s">
        <v>22</v>
      </c>
      <c r="I301" s="3">
        <v>742</v>
      </c>
      <c r="J301" s="2">
        <v>0.9</v>
      </c>
      <c r="K301" s="2">
        <f t="shared" si="14"/>
        <v>296</v>
      </c>
    </row>
  </sheetData>
  <autoFilter ref="A1:I30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Machine Tang</dc:creator>
  <cp:lastModifiedBy>TangMachine</cp:lastModifiedBy>
  <dcterms:created xsi:type="dcterms:W3CDTF">2015-06-05T18:19:34Z</dcterms:created>
  <dcterms:modified xsi:type="dcterms:W3CDTF">2025-07-12T05:44:34Z</dcterms:modified>
</cp:coreProperties>
</file>